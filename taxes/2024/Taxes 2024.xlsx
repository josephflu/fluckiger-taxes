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xDocs" sheetId="1" r:id="rId5"/>
    <sheet state="visible" name="Eager 2024 Transactions Monarch" sheetId="2" r:id="rId6"/>
    <sheet state="visible" name="non-lds charity donations" sheetId="3" r:id="rId7"/>
  </sheets>
  <definedNames/>
  <calcPr/>
</workbook>
</file>

<file path=xl/sharedStrings.xml><?xml version="1.0" encoding="utf-8"?>
<sst xmlns="http://schemas.openxmlformats.org/spreadsheetml/2006/main" count="667" uniqueCount="234">
  <si>
    <t>Entity</t>
  </si>
  <si>
    <t>Received</t>
  </si>
  <si>
    <t>hard copy</t>
  </si>
  <si>
    <t>doc type</t>
  </si>
  <si>
    <t>notes</t>
  </si>
  <si>
    <t>uploaded</t>
  </si>
  <si>
    <t>in physical folder</t>
  </si>
  <si>
    <t>amount</t>
  </si>
  <si>
    <t>Etrade</t>
  </si>
  <si>
    <t>yes</t>
  </si>
  <si>
    <t>-</t>
  </si>
  <si>
    <t>etrade_MS_2024_1099-CONS_MSSB_LLC_8203_20250218.pdf</t>
  </si>
  <si>
    <t>supliment</t>
  </si>
  <si>
    <t>etrade_getSupplementalInformation.pdf</t>
  </si>
  <si>
    <t>1099 group letter</t>
  </si>
  <si>
    <t>etrade_MS_2024_Mailing_Group_3_1099_Letter_8203_20250127.pdf</t>
  </si>
  <si>
    <t>Fidelity Individual Trading</t>
  </si>
  <si>
    <t>fidelity_2024-Individual-Trading-6724-Consolidated-Form-1099.pdf</t>
  </si>
  <si>
    <t>Fidelity Joint Managed Trading</t>
  </si>
  <si>
    <t>fidelity_2024-Joint-Managed-9595-Consolidated-Form-1099.pdf</t>
  </si>
  <si>
    <t>Alumni Ventures</t>
  </si>
  <si>
    <t>K1</t>
  </si>
  <si>
    <t>packet of tax docs</t>
  </si>
  <si>
    <t>Boxwilson</t>
  </si>
  <si>
    <t>K1 pdf</t>
  </si>
  <si>
    <t>2024_K-1_EAGER LLC_BOX WILSON EQUITY 8, LLC.pdf</t>
  </si>
  <si>
    <t>Eager LLC</t>
  </si>
  <si>
    <t>expense list</t>
  </si>
  <si>
    <t>(see tab: Eager 2024 Transactions )</t>
  </si>
  <si>
    <t>LDS Church-Tithing and fast</t>
  </si>
  <si>
    <t>gift receipt</t>
  </si>
  <si>
    <t>lds_donations_2024.pdf</t>
  </si>
  <si>
    <t>LDS Church BYU Philantropies</t>
  </si>
  <si>
    <t xml:space="preserve"> to BYU for $800</t>
  </si>
  <si>
    <t>non lds charity</t>
  </si>
  <si>
    <t>csv</t>
  </si>
  <si>
    <t>goodwill, car donation, hcbc, etc. eager_llc_Taxes_2024_ non-lds_charity_donations.csv</t>
  </si>
  <si>
    <t>Salesforce Healthcare coverage</t>
  </si>
  <si>
    <t>1095-C</t>
  </si>
  <si>
    <t>healthcare coverage declaration</t>
  </si>
  <si>
    <t>Salesforce W2</t>
  </si>
  <si>
    <t>W2</t>
  </si>
  <si>
    <t>wages 2024 $256,019.93</t>
  </si>
  <si>
    <t>Salesforce ESPP tax docs</t>
  </si>
  <si>
    <t>3 pages, only lists 2 transactions</t>
  </si>
  <si>
    <t>salesforce-optimum financial</t>
  </si>
  <si>
    <t>Sarah Walsh MS W2</t>
  </si>
  <si>
    <t>Sarah 1095-C Healthcare coverage</t>
  </si>
  <si>
    <t>Chase mortgage interest 2024</t>
  </si>
  <si>
    <t>Form 1098</t>
  </si>
  <si>
    <t>mortgage interest</t>
  </si>
  <si>
    <t>UTD - Michael tuition doc</t>
  </si>
  <si>
    <t>Form 1098-T</t>
  </si>
  <si>
    <t>qualified Tuition $6498</t>
  </si>
  <si>
    <t>HSA docs 5498</t>
  </si>
  <si>
    <t>Form 5498</t>
  </si>
  <si>
    <t>HSA_optimum_2024-5498-SA-original.pdf</t>
  </si>
  <si>
    <t>HSA docs 1099</t>
  </si>
  <si>
    <t>Form 1099</t>
  </si>
  <si>
    <t>HSA_optimum_2024-1099-SA-original.pdf</t>
  </si>
  <si>
    <t>Property Tax 2024</t>
  </si>
  <si>
    <t>?</t>
  </si>
  <si>
    <t>county receipt</t>
  </si>
  <si>
    <t>Date</t>
  </si>
  <si>
    <t>Merchant</t>
  </si>
  <si>
    <t>Category</t>
  </si>
  <si>
    <t>Account</t>
  </si>
  <si>
    <t>Original Statement</t>
  </si>
  <si>
    <t>Notes</t>
  </si>
  <si>
    <t>Amount</t>
  </si>
  <si>
    <t>Tags</t>
  </si>
  <si>
    <t>MONTHLY SERVICE FEE</t>
  </si>
  <si>
    <t>Financial Fees</t>
  </si>
  <si>
    <t>Eager LLC Checking (...6563)</t>
  </si>
  <si>
    <t>Fullscreen Googletas Chrome</t>
  </si>
  <si>
    <t>Entertainment &amp; Recreation</t>
  </si>
  <si>
    <t>FULLSCREEN GOOGLETAS CHROME.GOOGLE DC 12/22</t>
  </si>
  <si>
    <t>OpenAI</t>
  </si>
  <si>
    <t>Business Tech</t>
  </si>
  <si>
    <t>OPENAI *CHATGPT SUBS HTTPSOPENAI.C CA 12/15</t>
  </si>
  <si>
    <t>OPENAI *CHATGPT SUBS HTTPSOPENAI.C CA 12/08</t>
  </si>
  <si>
    <r>
      <rPr>
        <rFont val="&quot;Helvetica Neue&quot;"/>
        <color rgb="FF1155CC"/>
        <sz val="8.0"/>
        <u/>
      </rPr>
      <t>Contra.com</t>
    </r>
  </si>
  <si>
    <t>Upwork</t>
  </si>
  <si>
    <r>
      <rPr>
        <rFont val="&quot;Helvetica Neue&quot;"/>
        <color rgb="FF1155CC"/>
        <sz val="8.0"/>
        <u/>
      </rPr>
      <t>CONTRA.COM</t>
    </r>
    <r>
      <rPr>
        <rFont val="&quot;Helvetica Neue&quot;"/>
        <sz val="8.0"/>
      </rPr>
      <t xml:space="preserve">* DMYTRO HY </t>
    </r>
    <r>
      <rPr>
        <rFont val="&quot;Helvetica Neue&quot;"/>
        <color rgb="FF1155CC"/>
        <sz val="8.0"/>
        <u/>
      </rPr>
      <t>CONTRA.COM</t>
    </r>
    <r>
      <rPr>
        <rFont val="&quot;Helvetica Neue&quot;"/>
        <sz val="8.0"/>
      </rPr>
      <t xml:space="preserve"> CA 12/04</t>
    </r>
  </si>
  <si>
    <t>Google Workspace</t>
  </si>
  <si>
    <t>Google Email</t>
  </si>
  <si>
    <r>
      <t xml:space="preserve">GOOGLE *GSUITE_fluck </t>
    </r>
    <r>
      <rPr>
        <rFont val="&quot;Helvetica Neue&quot;"/>
        <color rgb="FF1155CC"/>
        <sz val="8.0"/>
        <u/>
      </rPr>
      <t>cc@google.com</t>
    </r>
    <r>
      <rPr>
        <rFont val="&quot;Helvetica Neue&quot;"/>
        <sz val="8.0"/>
      </rPr>
      <t xml:space="preserve"> CA 12/01</t>
    </r>
  </si>
  <si>
    <t>UPWORK * -756974864 866-262-4478 CA 11/28</t>
  </si>
  <si>
    <t>Github</t>
  </si>
  <si>
    <t>Miscellaneous</t>
  </si>
  <si>
    <t>GITHUB, INC. HTTPSGITHUB.C CA 11/23</t>
  </si>
  <si>
    <t>FULLSCREEN GOOGLETAS CHROME.GOOGLE DC 11/22</t>
  </si>
  <si>
    <t>UPWORK * -754186249 866-262-4478 CA 11/18</t>
  </si>
  <si>
    <t>OPENAI *CHATGPT SUBS HTTPSOPENAI.C CA 11/15</t>
  </si>
  <si>
    <t>GoDaddy</t>
  </si>
  <si>
    <r>
      <t xml:space="preserve">DNH*GODADDY#34056195 </t>
    </r>
    <r>
      <rPr>
        <rFont val="&quot;Helvetica Neue&quot;"/>
        <color rgb="FF1155CC"/>
        <sz val="8.0"/>
        <u/>
      </rPr>
      <t>https://www.g</t>
    </r>
    <r>
      <rPr>
        <rFont val="&quot;Helvetica Neue&quot;"/>
        <sz val="8.0"/>
      </rPr>
      <t xml:space="preserve"> AZ 11/11</t>
    </r>
  </si>
  <si>
    <r>
      <t xml:space="preserve">DNH*GODADDY#34044763 </t>
    </r>
    <r>
      <rPr>
        <rFont val="&quot;Helvetica Neue&quot;"/>
        <color rgb="FF1155CC"/>
        <sz val="8.0"/>
        <u/>
      </rPr>
      <t>https://www.g</t>
    </r>
    <r>
      <rPr>
        <rFont val="&quot;Helvetica Neue&quot;"/>
        <sz val="8.0"/>
      </rPr>
      <t xml:space="preserve"> AZ 11/11</t>
    </r>
  </si>
  <si>
    <t>OPENAI *CHATGPT SUBS HTTPSOPENAI.C CA 11/08</t>
  </si>
  <si>
    <t>UPWORK * -749845000 866-262-4478 CA 11/04</t>
  </si>
  <si>
    <r>
      <t xml:space="preserve">GOOGLE *GSUITE_fluck </t>
    </r>
    <r>
      <rPr>
        <rFont val="&quot;Helvetica Neue&quot;"/>
        <color rgb="FF1155CC"/>
        <sz val="8.0"/>
        <u/>
      </rPr>
      <t>cc@google.com</t>
    </r>
    <r>
      <rPr>
        <rFont val="&quot;Helvetica Neue&quot;"/>
        <sz val="8.0"/>
      </rPr>
      <t xml:space="preserve"> CA 11/01</t>
    </r>
  </si>
  <si>
    <t>UPWORK * -748105281 866-262-4478 CA 10/30</t>
  </si>
  <si>
    <t>UPWORK * -747681575 866-262-4478 CA 10/28</t>
  </si>
  <si>
    <t>FULLSCREEN GOOGLETAS HTTPSCHROME</t>
  </si>
  <si>
    <t>Transfer</t>
  </si>
  <si>
    <t>FULLSCREEN GOOGLETAS HTTPSCHROME.G DC 10/22</t>
  </si>
  <si>
    <t>OPENAI *CHATGPT SUBS HTTPSOPENAI.C CA 10/15</t>
  </si>
  <si>
    <t>UPWORK * -743349845 866-262-4478 CA 10/14</t>
  </si>
  <si>
    <t>UPWORK * -741209706 866-262-4478 CA 10/07</t>
  </si>
  <si>
    <t>OPENAI *CHATGPT SUBS HTTPSOPENAI.C CA 10/08</t>
  </si>
  <si>
    <r>
      <t xml:space="preserve">GOOGLE *GSUITE_fluck </t>
    </r>
    <r>
      <rPr>
        <rFont val="&quot;Helvetica Neue&quot;"/>
        <color rgb="FF1155CC"/>
        <sz val="8.0"/>
        <u/>
      </rPr>
      <t>cc@google.com</t>
    </r>
    <r>
      <rPr>
        <rFont val="&quot;Helvetica Neue&quot;"/>
        <sz val="8.0"/>
      </rPr>
      <t xml:space="preserve"> CA 10/01</t>
    </r>
  </si>
  <si>
    <t>UPWORK * -736780655 866-262-4478 CA 09/23</t>
  </si>
  <si>
    <t>Fullscreen Googletas Httpschrome</t>
  </si>
  <si>
    <t>FULLSCREEN GOOGLETAS HTTPSCHROME.G DC 09/22</t>
  </si>
  <si>
    <t>UPWORK * -734608963 866-262-4478 CA 09/16</t>
  </si>
  <si>
    <t>OPENAI *CHATGPT SUBS HTTPSOPENAI.C CA 09/15</t>
  </si>
  <si>
    <t>Techsmith</t>
  </si>
  <si>
    <t>FS *TechSmith 877-3278914 CA 09/15</t>
  </si>
  <si>
    <t>UPWORK * -732447759 866-262-4478 CA 09/09</t>
  </si>
  <si>
    <t>OPENAI *CHATGPT SUBS HTTPSOPENAI.C CA 09/08</t>
  </si>
  <si>
    <r>
      <t xml:space="preserve">GOOGLE *GSUITE_fluck </t>
    </r>
    <r>
      <rPr>
        <rFont val="&quot;Helvetica Neue&quot;"/>
        <color rgb="FF1155CC"/>
        <sz val="8.0"/>
        <u/>
      </rPr>
      <t>cc@google.com</t>
    </r>
    <r>
      <rPr>
        <rFont val="&quot;Helvetica Neue&quot;"/>
        <sz val="8.0"/>
      </rPr>
      <t xml:space="preserve"> CA 09/01</t>
    </r>
  </si>
  <si>
    <t>UPWORK * -728110106 866-262-4478 CA 08/26</t>
  </si>
  <si>
    <t>UPWORK * -726574321 866-262-4478 CA 08/22</t>
  </si>
  <si>
    <t>FULLSCREEN GOOGLETAS HTTPSCHROME.G DC 08/22</t>
  </si>
  <si>
    <r>
      <t xml:space="preserve">DNH*GODADDY#32551381 </t>
    </r>
    <r>
      <rPr>
        <rFont val="&quot;Helvetica Neue&quot;"/>
        <color rgb="FF1155CC"/>
        <sz val="8.0"/>
        <u/>
      </rPr>
      <t>https://www.g</t>
    </r>
    <r>
      <rPr>
        <rFont val="&quot;Helvetica Neue&quot;"/>
        <sz val="8.0"/>
      </rPr>
      <t xml:space="preserve"> AZ 08/21</t>
    </r>
  </si>
  <si>
    <t>UPWORK -723886723 866-262-4478 CA 08/12</t>
  </si>
  <si>
    <t>OPENAI *CHATGPT SUBS HTTPSOPENAI.C CA 08/09</t>
  </si>
  <si>
    <t>OPENAI *CHATGPT SUBS HTTPSOPENAI.C CA 08/08</t>
  </si>
  <si>
    <t>UPWORK -721748963 866-262-4478 CA 08/05</t>
  </si>
  <si>
    <r>
      <t xml:space="preserve">DNH*GODADDY#32269433 </t>
    </r>
    <r>
      <rPr>
        <rFont val="&quot;Helvetica Neue&quot;"/>
        <color rgb="FF1155CC"/>
        <sz val="8.0"/>
        <u/>
      </rPr>
      <t>https://www.g</t>
    </r>
    <r>
      <rPr>
        <rFont val="&quot;Helvetica Neue&quot;"/>
        <sz val="8.0"/>
      </rPr>
      <t xml:space="preserve"> AZ 08/05</t>
    </r>
  </si>
  <si>
    <r>
      <t xml:space="preserve">GOOGLE *GSUITE_fluck </t>
    </r>
    <r>
      <rPr>
        <rFont val="&quot;Helvetica Neue&quot;"/>
        <color rgb="FF1155CC"/>
        <sz val="8.0"/>
        <u/>
      </rPr>
      <t>cc@google.com</t>
    </r>
    <r>
      <rPr>
        <rFont val="&quot;Helvetica Neue&quot;"/>
        <sz val="8.0"/>
      </rPr>
      <t xml:space="preserve"> CA 08/01</t>
    </r>
  </si>
  <si>
    <t>FULLSCREEN GOOGLETAS HTTPSCHROME.G DC 07/22</t>
  </si>
  <si>
    <t>UPWORK -715289490 866-262-4478 CA 07/15</t>
  </si>
  <si>
    <t>OPENAI *CHATGPT SUBS HTTPSOPENAI.C CA 07/09</t>
  </si>
  <si>
    <t>OPENAI *CHATGPT SUBS HTTPSOPENAI.C CA 07/08</t>
  </si>
  <si>
    <r>
      <t xml:space="preserve">GOOGLE *GSUITE_fluck </t>
    </r>
    <r>
      <rPr>
        <rFont val="&quot;Helvetica Neue&quot;"/>
        <color rgb="FF1155CC"/>
        <sz val="8.0"/>
        <u/>
      </rPr>
      <t>cc@google.com</t>
    </r>
    <r>
      <rPr>
        <rFont val="&quot;Helvetica Neue&quot;"/>
        <sz val="8.0"/>
      </rPr>
      <t xml:space="preserve"> CA 07/01</t>
    </r>
  </si>
  <si>
    <t>UPWORK -708538904 866-262-4478 CA 06/24</t>
  </si>
  <si>
    <t>FULLSCREEN GOOGLETAS HTTPSCHROME.G DC 06/22</t>
  </si>
  <si>
    <t>Openai Httpsopenai</t>
  </si>
  <si>
    <t>OPENAI HTTPSOPENAI.C CA 06/09</t>
  </si>
  <si>
    <t>OPENAI *CHATGPT SUBS HTTPSOPENAI.C CA 06/09</t>
  </si>
  <si>
    <t>OPENAI *CHATGPT SUBS HTTPSOPENAI.C CA 06/08</t>
  </si>
  <si>
    <t>upwork</t>
  </si>
  <si>
    <t>Upwork -701601476REF 650-8534100 CA 06/03</t>
  </si>
  <si>
    <r>
      <t xml:space="preserve">GOOGLE *GSUITE_fluck </t>
    </r>
    <r>
      <rPr>
        <rFont val="&quot;Helvetica Neue&quot;"/>
        <color rgb="FF1155CC"/>
        <sz val="8.0"/>
        <u/>
      </rPr>
      <t>cc@google.com</t>
    </r>
    <r>
      <rPr>
        <rFont val="&quot;Helvetica Neue&quot;"/>
        <sz val="8.0"/>
      </rPr>
      <t xml:space="preserve"> CA 06/01</t>
    </r>
  </si>
  <si>
    <t>Monthly Service Fee</t>
  </si>
  <si>
    <t>UPWORK -699372304 866-262-4478 CA 05/27</t>
  </si>
  <si>
    <t>FULLSCREEN GOOGLETAS HTTPSCHROME.G DC 05/22</t>
  </si>
  <si>
    <t>Upwork -697195014REF 650-8534100 CA 05/20</t>
  </si>
  <si>
    <t>Upwork -694989955REF 650-8534100 CA 05/13</t>
  </si>
  <si>
    <r>
      <t>DNH*</t>
    </r>
    <r>
      <rPr>
        <rFont val="&quot;Helvetica Neue&quot;"/>
        <color rgb="FF1155CC"/>
        <sz val="8.0"/>
        <u/>
      </rPr>
      <t>GODADDY.COM</t>
    </r>
    <r>
      <rPr>
        <rFont val="&quot;Helvetica Neue&quot;"/>
        <sz val="8.0"/>
      </rPr>
      <t xml:space="preserve"> </t>
    </r>
    <r>
      <rPr>
        <rFont val="&quot;Helvetica Neue&quot;"/>
        <color rgb="FF1155CC"/>
        <sz val="8.0"/>
        <u/>
      </rPr>
      <t>https://www.g</t>
    </r>
    <r>
      <rPr>
        <rFont val="&quot;Helvetica Neue&quot;"/>
        <sz val="8.0"/>
      </rPr>
      <t xml:space="preserve"> AZ 05/08</t>
    </r>
  </si>
  <si>
    <t>CHATGPT SUBSCRIPTION HTTPSOPENAI.C CA 05/09</t>
  </si>
  <si>
    <t>CHATGPT SUBSCRIPTION HTTPSOPENAI.C CA 05/08</t>
  </si>
  <si>
    <t>UPWORK -692808730 866-262-4478 CA 05/06</t>
  </si>
  <si>
    <r>
      <t xml:space="preserve">GOOGLE *GSUITE_fluck </t>
    </r>
    <r>
      <rPr>
        <rFont val="&quot;Helvetica Neue&quot;"/>
        <color rgb="FF1155CC"/>
        <sz val="8.0"/>
        <u/>
      </rPr>
      <t>cc@google.com</t>
    </r>
    <r>
      <rPr>
        <rFont val="&quot;Helvetica Neue&quot;"/>
        <sz val="8.0"/>
      </rPr>
      <t xml:space="preserve"> CA 05/01</t>
    </r>
  </si>
  <si>
    <t>UPWORK -690592723 866-262-4478 CA 04/29</t>
  </si>
  <si>
    <r>
      <t>DNH*</t>
    </r>
    <r>
      <rPr>
        <rFont val="&quot;Helvetica Neue&quot;"/>
        <color rgb="FF1155CC"/>
        <sz val="8.0"/>
        <u/>
      </rPr>
      <t>GODADDY.COM</t>
    </r>
    <r>
      <rPr>
        <rFont val="&quot;Helvetica Neue&quot;"/>
        <sz val="8.0"/>
      </rPr>
      <t xml:space="preserve"> 480-5058855 AZ 04/24</t>
    </r>
  </si>
  <si>
    <t>Upwork -688408007REF 650-8534100 CA 04/22</t>
  </si>
  <si>
    <t>Upwork -687271377REF 650-8534100 CA 04/21</t>
  </si>
  <si>
    <t>FULLSCREEN GOOGLETAS HTTPSCHROME.G DC 04/22</t>
  </si>
  <si>
    <t>Upwork -686211941REF 650-8534100 CA 04/15</t>
  </si>
  <si>
    <t>CHATGPT SUBSCRIPTION HTTPSOPENAI.C CA 04/09</t>
  </si>
  <si>
    <t>Upwork -684110582REF 650-8534100 CA 04/08</t>
  </si>
  <si>
    <t>CHATGPT SUBSCRIPTION HTTPSOPENAI.C CA 04/08</t>
  </si>
  <si>
    <t>Upwork -681875882REF 650-8534100 CA 04/01</t>
  </si>
  <si>
    <t>GOOGLE GSUITE_fluckig 650-2530000 CA 04/01</t>
  </si>
  <si>
    <t>Upwork -XXXXX0386REF XXX-XXX4100 CA 03/26</t>
  </si>
  <si>
    <t>FULLSCREEN GOOGLETAS HTTPSCHROME.G DC 03/22</t>
  </si>
  <si>
    <t>POS DEBIT FULLSCREEN GOOGLETASKS +XXXXXXX8848 DC</t>
  </si>
  <si>
    <t>Upwork -XXXXX4034REF XXX-XXX4100 CA 03/18</t>
  </si>
  <si>
    <t>Upwork -XXXXX7592REF XXX-XXX4100 CA 03/11</t>
  </si>
  <si>
    <t>CHATGPT SUBSCRIPTION HTTPSOPENAI.C CA 03/09</t>
  </si>
  <si>
    <t>CHATGPT SUBSCRIPTION HTTPSOPENAI.C CA 03/08</t>
  </si>
  <si>
    <t>POS DEBIT UPWORK -XXXXX8268REF XXX-XXX4100 CA 00NNX3269</t>
  </si>
  <si>
    <t>Upwork -XXXXX8268REF XXX-XXX4100 CA 03/04</t>
  </si>
  <si>
    <r>
      <t xml:space="preserve">GOOGLE *GSUITE_fluck </t>
    </r>
    <r>
      <rPr>
        <rFont val="&quot;Helvetica Neue&quot;"/>
        <color rgb="FF1155CC"/>
        <sz val="8.0"/>
        <u/>
      </rPr>
      <t>cc@google.com</t>
    </r>
    <r>
      <rPr>
        <rFont val="&quot;Helvetica Neue&quot;"/>
        <sz val="8.0"/>
      </rPr>
      <t xml:space="preserve"> CA 03/01</t>
    </r>
  </si>
  <si>
    <r>
      <t xml:space="preserve">GOOGLE *GSUITE_fluck </t>
    </r>
    <r>
      <rPr>
        <rFont val="&quot;Helvetica Neue&quot;"/>
        <color rgb="FF1155CC"/>
        <sz val="8.0"/>
        <u/>
      </rPr>
      <t>cc@google.com</t>
    </r>
    <r>
      <rPr>
        <rFont val="&quot;Helvetica Neue&quot;"/>
        <sz val="8.0"/>
      </rPr>
      <t xml:space="preserve"> CA 03/01</t>
    </r>
  </si>
  <si>
    <t>POS DEBIT FULLSCREEN GOOGLETASKS +XXXXXXX8848 DC 0NN0 3174</t>
  </si>
  <si>
    <t>FULLSCREEN GOOGLETAS HTTPSCHROME.G DC 02/22</t>
  </si>
  <si>
    <r>
      <rPr>
        <rFont val="&quot;Helvetica Neue&quot;"/>
        <color rgb="FF1155CC"/>
        <sz val="8.0"/>
        <u/>
      </rPr>
      <t>GoDaddy.com</t>
    </r>
  </si>
  <si>
    <r>
      <t>DNH*</t>
    </r>
    <r>
      <rPr>
        <rFont val="&quot;Helvetica Neue&quot;"/>
        <color rgb="FF1155CC"/>
        <sz val="8.0"/>
        <u/>
      </rPr>
      <t>GODADDY.COM</t>
    </r>
    <r>
      <rPr>
        <rFont val="&quot;Helvetica Neue&quot;"/>
        <sz val="8.0"/>
      </rPr>
      <t xml:space="preserve"> XXX-XXX8855 AZ 02/17</t>
    </r>
  </si>
  <si>
    <r>
      <rPr>
        <rFont val="&quot;Helvetica Neue&quot;"/>
        <color rgb="FF1155CC"/>
        <sz val="8.0"/>
        <u/>
      </rPr>
      <t>GoDaddy.com</t>
    </r>
  </si>
  <si>
    <r>
      <t>POS DEBIT DNH*</t>
    </r>
    <r>
      <rPr>
        <rFont val="&quot;Helvetica Neue&quot;"/>
        <color rgb="FF1155CC"/>
        <sz val="8.0"/>
        <u/>
      </rPr>
      <t>GODADDY.COM</t>
    </r>
    <r>
      <rPr>
        <rFont val="&quot;Helvetica Neue&quot;"/>
        <sz val="8.0"/>
      </rPr>
      <t xml:space="preserve"> XXX-XXX8855 AZ</t>
    </r>
  </si>
  <si>
    <t>CHATGPT SUBSCRIPTION HTTPSOPENAI.C CA 02/09</t>
  </si>
  <si>
    <t>CHATGPT SUBSCRIPTION HTTPSOPENAI.C CA 02/08</t>
  </si>
  <si>
    <t>OPENAI HTTPSOPENAI.C CA 02/08</t>
  </si>
  <si>
    <t>Upwork -XXXXX8136REF XXX-XXX4100 CA 02/05</t>
  </si>
  <si>
    <r>
      <t xml:space="preserve">GOOGLE *GSUITE_fluck </t>
    </r>
    <r>
      <rPr>
        <rFont val="&quot;Helvetica Neue&quot;"/>
        <color rgb="FF1155CC"/>
        <sz val="8.0"/>
        <u/>
      </rPr>
      <t>cc@google.com</t>
    </r>
    <r>
      <rPr>
        <rFont val="&quot;Helvetica Neue&quot;"/>
        <sz val="8.0"/>
      </rPr>
      <t xml:space="preserve"> CA 02/01</t>
    </r>
  </si>
  <si>
    <r>
      <t xml:space="preserve">GOOGLE *GSUITE_fluck </t>
    </r>
    <r>
      <rPr>
        <rFont val="&quot;Helvetica Neue&quot;"/>
        <color rgb="FF1155CC"/>
        <sz val="8.0"/>
        <u/>
      </rPr>
      <t>cc@google.com</t>
    </r>
    <r>
      <rPr>
        <rFont val="&quot;Helvetica Neue&quot;"/>
        <sz val="8.0"/>
      </rPr>
      <t xml:space="preserve"> CA 02/01</t>
    </r>
  </si>
  <si>
    <t>POS DEBIT UPWORK -XXXXX0457REF XXX-XXX4100 CA 00NNX3269</t>
  </si>
  <si>
    <t>Upwork -XXXXX0457REF XXX-XXX4100 CA 01/29</t>
  </si>
  <si>
    <t>POS DEBIT EB *DATA DAY TEXAS AI SAN FRANCISC CA</t>
  </si>
  <si>
    <t>EB DATA DAY TEXAS AI XXX-XXX-7200 CA 01/24</t>
  </si>
  <si>
    <t>Eager LLC Expense</t>
  </si>
  <si>
    <t>Educational expense at Data Day Texas.</t>
  </si>
  <si>
    <r>
      <rPr>
        <rFont val="&quot;Helvetica Neue&quot;"/>
        <color rgb="FF1155CC"/>
        <sz val="8.0"/>
        <u/>
      </rPr>
      <t>GoDaddy.com</t>
    </r>
  </si>
  <si>
    <r>
      <t>DNH*</t>
    </r>
    <r>
      <rPr>
        <rFont val="&quot;Helvetica Neue&quot;"/>
        <color rgb="FF1155CC"/>
        <sz val="8.0"/>
        <u/>
      </rPr>
      <t>GODADDY.COM</t>
    </r>
    <r>
      <rPr>
        <rFont val="&quot;Helvetica Neue&quot;"/>
        <sz val="8.0"/>
      </rPr>
      <t xml:space="preserve"> XXX-XXX8855 AZ 01/22</t>
    </r>
  </si>
  <si>
    <t>FULLSCREEN GOOGLETAS HTTPSCHROME.G DC 01/22</t>
  </si>
  <si>
    <t>Upwork -XXXXX0815REF XXX-XXX4100 CA 01/15</t>
  </si>
  <si>
    <t>POS DEBIT OPENAI +XXXXXXX9686 CA 00NNX3832</t>
  </si>
  <si>
    <t>POS DEBIT CHATGPT SUBSCRIPTION +XXXXXXX9686 CA 00NNX3832</t>
  </si>
  <si>
    <t>CHATGPT SUBSCRIPTION HTTPSOPENAI.C CA 01/09</t>
  </si>
  <si>
    <t>OPENAI HTTPSOPENAI.C CA 01/09</t>
  </si>
  <si>
    <t>CHATGPT SUBSCRIPTION HTTPSOPENAI.C CA 01/08</t>
  </si>
  <si>
    <t>Upwork -XXXXX7056REF XXX-XXX4100 CA 01/08</t>
  </si>
  <si>
    <t>Upwork -XXXXX2497REF XXX-XXX4100 CA 01/01</t>
  </si>
  <si>
    <t>PINECONE SYSTEMS, IN HTTPSWWW.PINE CA 01/01</t>
  </si>
  <si>
    <r>
      <t xml:space="preserve">GOOGLE *GSUITE_fluck </t>
    </r>
    <r>
      <rPr>
        <rFont val="&quot;Helvetica Neue&quot;"/>
        <color rgb="FF1155CC"/>
        <sz val="8.0"/>
        <u/>
      </rPr>
      <t>cc@google.com</t>
    </r>
    <r>
      <rPr>
        <rFont val="&quot;Helvetica Neue&quot;"/>
        <sz val="8.0"/>
      </rPr>
      <t xml:space="preserve"> CA 01/01</t>
    </r>
  </si>
  <si>
    <r>
      <t xml:space="preserve">GOOGLE *GSUITE_fluck </t>
    </r>
    <r>
      <rPr>
        <rFont val="&quot;Helvetica Neue&quot;"/>
        <color rgb="FF1155CC"/>
        <sz val="8.0"/>
        <u/>
      </rPr>
      <t>cc@google.com</t>
    </r>
    <r>
      <rPr>
        <rFont val="&quot;Helvetica Neue&quot;"/>
        <sz val="8.0"/>
      </rPr>
      <t xml:space="preserve"> CA 01/01</t>
    </r>
  </si>
  <si>
    <t>Total</t>
  </si>
  <si>
    <t>Upwork Total</t>
  </si>
  <si>
    <t>Description</t>
  </si>
  <si>
    <t>Receipt</t>
  </si>
  <si>
    <t>Account Name</t>
  </si>
  <si>
    <t>Comments</t>
  </si>
  <si>
    <t>Toyota car donation</t>
  </si>
  <si>
    <t>n/a</t>
  </si>
  <si>
    <t>donated Michael's Camry to Veteran Car Donations</t>
  </si>
  <si>
    <r>
      <rPr>
        <color rgb="FF1155CC"/>
        <u/>
      </rPr>
      <t>link</t>
    </r>
    <r>
      <rPr/>
      <t xml:space="preserve"> in google drive</t>
    </r>
  </si>
  <si>
    <t>goodwill pressure washer donation and other items</t>
  </si>
  <si>
    <t>pressure washer donation and other items</t>
  </si>
  <si>
    <t>in google drive</t>
  </si>
  <si>
    <t>goodwill - furniture</t>
  </si>
  <si>
    <t>bedroom and living room furniture</t>
  </si>
  <si>
    <t>goodwill - 3D printer</t>
  </si>
  <si>
    <t>3D printer, etc</t>
  </si>
  <si>
    <t>light the world donation</t>
  </si>
  <si>
    <t>no</t>
  </si>
  <si>
    <t>light the world</t>
  </si>
  <si>
    <t>project grad</t>
  </si>
  <si>
    <t>project grad donation</t>
  </si>
  <si>
    <t>hill country bible church</t>
  </si>
  <si>
    <t>HCBC christmas eve</t>
  </si>
  <si>
    <t>TOTAL</t>
  </si>
  <si>
    <r>
      <rPr/>
      <t xml:space="preserve">monarch filter: 2024 and category charity. </t>
    </r>
    <r>
      <rPr>
        <color rgb="FF1155CC"/>
        <u/>
      </rPr>
      <t>link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</si>
</sst>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yyyy-mm-dd"/>
    <numFmt numFmtId="166" formatCode="m/d/yyyy"/>
  </numFmts>
  <fonts count="10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b/>
      <sz val="8.0"/>
      <color rgb="FF000000"/>
      <name val="&quot;Helvetica Neue&quot;"/>
    </font>
    <font>
      <sz val="8.0"/>
      <color rgb="FF000000"/>
      <name val="&quot;Helvetica Neue&quot;"/>
    </font>
    <font>
      <u/>
      <sz val="8.0"/>
      <color rgb="FF0000FF"/>
      <name val="&quot;Helvetica Neue&quot;"/>
    </font>
    <font>
      <b/>
      <sz val="11.0"/>
      <color theme="1"/>
      <name val="Calibri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left" readingOrder="0" vertical="bottom"/>
    </xf>
    <xf borderId="0" fillId="0" fontId="4" numFmtId="164" xfId="0" applyAlignment="1" applyFont="1" applyNumberFormat="1">
      <alignment readingOrder="0"/>
    </xf>
    <xf borderId="1" fillId="2" fontId="5" numFmtId="0" xfId="0" applyAlignment="1" applyBorder="1" applyFill="1" applyFont="1">
      <alignment readingOrder="0" vertical="top"/>
    </xf>
    <xf borderId="1" fillId="3" fontId="5" numFmtId="165" xfId="0" applyAlignment="1" applyBorder="1" applyFill="1" applyFont="1" applyNumberFormat="1">
      <alignment readingOrder="0" vertical="top"/>
    </xf>
    <xf borderId="1" fillId="0" fontId="6" numFmtId="0" xfId="0" applyAlignment="1" applyBorder="1" applyFont="1">
      <alignment readingOrder="0" vertical="top"/>
    </xf>
    <xf borderId="1" fillId="0" fontId="4" numFmtId="0" xfId="0" applyAlignment="1" applyBorder="1" applyFont="1">
      <alignment vertical="top"/>
    </xf>
    <xf borderId="1" fillId="0" fontId="7" numFmtId="0" xfId="0" applyAlignment="1" applyBorder="1" applyFont="1">
      <alignment readingOrder="0" vertical="top"/>
    </xf>
    <xf borderId="0" fillId="0" fontId="2" numFmtId="164" xfId="0" applyFont="1" applyNumberFormat="1"/>
    <xf borderId="0" fillId="0" fontId="2" numFmtId="0" xfId="0" applyFont="1"/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8" numFmtId="164" xfId="0" applyAlignment="1" applyFont="1" applyNumberFormat="1">
      <alignment horizontal="right" vertical="bottom"/>
    </xf>
    <xf borderId="0" fillId="0" fontId="8" numFmtId="0" xfId="0" applyAlignment="1" applyFont="1">
      <alignment horizontal="center" vertical="bottom"/>
    </xf>
    <xf borderId="0" fillId="0" fontId="4" numFmtId="166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://godaddy.com" TargetMode="External"/><Relationship Id="rId22" Type="http://schemas.openxmlformats.org/officeDocument/2006/relationships/hyperlink" Target="http://godaddy.com" TargetMode="External"/><Relationship Id="rId21" Type="http://schemas.openxmlformats.org/officeDocument/2006/relationships/hyperlink" Target="http://godaddy.com" TargetMode="External"/><Relationship Id="rId24" Type="http://schemas.openxmlformats.org/officeDocument/2006/relationships/hyperlink" Target="mailto:cc@google.com" TargetMode="External"/><Relationship Id="rId23" Type="http://schemas.openxmlformats.org/officeDocument/2006/relationships/hyperlink" Target="mailto:cc@google.com" TargetMode="External"/><Relationship Id="rId1" Type="http://schemas.openxmlformats.org/officeDocument/2006/relationships/hyperlink" Target="http://contra.com" TargetMode="External"/><Relationship Id="rId2" Type="http://schemas.openxmlformats.org/officeDocument/2006/relationships/hyperlink" Target="http://contra.com" TargetMode="External"/><Relationship Id="rId3" Type="http://schemas.openxmlformats.org/officeDocument/2006/relationships/hyperlink" Target="mailto:cc@google.com" TargetMode="External"/><Relationship Id="rId4" Type="http://schemas.openxmlformats.org/officeDocument/2006/relationships/hyperlink" Target="https://www.g" TargetMode="External"/><Relationship Id="rId9" Type="http://schemas.openxmlformats.org/officeDocument/2006/relationships/hyperlink" Target="https://www.g" TargetMode="External"/><Relationship Id="rId26" Type="http://schemas.openxmlformats.org/officeDocument/2006/relationships/hyperlink" Target="http://godaddy.com" TargetMode="External"/><Relationship Id="rId25" Type="http://schemas.openxmlformats.org/officeDocument/2006/relationships/hyperlink" Target="http://godaddy.com" TargetMode="External"/><Relationship Id="rId28" Type="http://schemas.openxmlformats.org/officeDocument/2006/relationships/hyperlink" Target="mailto:cc@google.com" TargetMode="External"/><Relationship Id="rId27" Type="http://schemas.openxmlformats.org/officeDocument/2006/relationships/hyperlink" Target="mailto:cc@google.com" TargetMode="External"/><Relationship Id="rId5" Type="http://schemas.openxmlformats.org/officeDocument/2006/relationships/hyperlink" Target="https://www.g" TargetMode="External"/><Relationship Id="rId6" Type="http://schemas.openxmlformats.org/officeDocument/2006/relationships/hyperlink" Target="mailto:cc@google.com" TargetMode="External"/><Relationship Id="rId29" Type="http://schemas.openxmlformats.org/officeDocument/2006/relationships/drawing" Target="../drawings/drawing2.xml"/><Relationship Id="rId7" Type="http://schemas.openxmlformats.org/officeDocument/2006/relationships/hyperlink" Target="mailto:cc@google.com" TargetMode="External"/><Relationship Id="rId8" Type="http://schemas.openxmlformats.org/officeDocument/2006/relationships/hyperlink" Target="mailto:cc@google.com" TargetMode="External"/><Relationship Id="rId11" Type="http://schemas.openxmlformats.org/officeDocument/2006/relationships/hyperlink" Target="mailto:cc@google.com" TargetMode="External"/><Relationship Id="rId10" Type="http://schemas.openxmlformats.org/officeDocument/2006/relationships/hyperlink" Target="https://www.g" TargetMode="External"/><Relationship Id="rId13" Type="http://schemas.openxmlformats.org/officeDocument/2006/relationships/hyperlink" Target="mailto:cc@google.com" TargetMode="External"/><Relationship Id="rId12" Type="http://schemas.openxmlformats.org/officeDocument/2006/relationships/hyperlink" Target="mailto:cc@google.com" TargetMode="External"/><Relationship Id="rId15" Type="http://schemas.openxmlformats.org/officeDocument/2006/relationships/hyperlink" Target="mailto:cc@google.com" TargetMode="External"/><Relationship Id="rId14" Type="http://schemas.openxmlformats.org/officeDocument/2006/relationships/hyperlink" Target="http://godaddy.com" TargetMode="External"/><Relationship Id="rId17" Type="http://schemas.openxmlformats.org/officeDocument/2006/relationships/hyperlink" Target="mailto:cc@google.com" TargetMode="External"/><Relationship Id="rId16" Type="http://schemas.openxmlformats.org/officeDocument/2006/relationships/hyperlink" Target="http://godaddy.com" TargetMode="External"/><Relationship Id="rId19" Type="http://schemas.openxmlformats.org/officeDocument/2006/relationships/hyperlink" Target="http://godaddy.com" TargetMode="External"/><Relationship Id="rId18" Type="http://schemas.openxmlformats.org/officeDocument/2006/relationships/hyperlink" Target="mailto:cc@google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8WDCsLaH2ikL5RrO2sZK6BIzVfUAG9ut/view?usp=drive_link" TargetMode="External"/><Relationship Id="rId2" Type="http://schemas.openxmlformats.org/officeDocument/2006/relationships/hyperlink" Target="https://app.monarchmoney.com/transactions?categories=174820762717671722&amp;debitsOnly=true&amp;endDate=2024-12-31&amp;order=amount&amp;startDate=2024-01-01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25"/>
    <col customWidth="1" min="2" max="2" width="8.38"/>
    <col customWidth="1" min="3" max="3" width="9.0"/>
    <col customWidth="1" min="4" max="4" width="11.38"/>
    <col customWidth="1" min="5" max="5" width="30.25"/>
    <col customWidth="1" min="6" max="6" width="8.38"/>
    <col customWidth="1" min="7" max="7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 t="s">
        <v>8</v>
      </c>
      <c r="B2" s="4" t="s">
        <v>9</v>
      </c>
      <c r="C2" s="4" t="s">
        <v>10</v>
      </c>
      <c r="D2" s="5">
        <v>1099.0</v>
      </c>
      <c r="E2" s="6" t="s">
        <v>11</v>
      </c>
      <c r="F2" s="6" t="s">
        <v>9</v>
      </c>
      <c r="G2" s="6" t="s">
        <v>10</v>
      </c>
    </row>
    <row r="3">
      <c r="A3" s="3" t="s">
        <v>8</v>
      </c>
      <c r="B3" s="4" t="s">
        <v>9</v>
      </c>
      <c r="C3" s="4" t="s">
        <v>10</v>
      </c>
      <c r="D3" s="7" t="s">
        <v>12</v>
      </c>
      <c r="E3" s="6" t="s">
        <v>13</v>
      </c>
      <c r="F3" s="6" t="s">
        <v>9</v>
      </c>
      <c r="G3" s="6" t="s">
        <v>10</v>
      </c>
    </row>
    <row r="4">
      <c r="A4" s="3" t="s">
        <v>8</v>
      </c>
      <c r="B4" s="4" t="s">
        <v>9</v>
      </c>
      <c r="C4" s="4" t="s">
        <v>10</v>
      </c>
      <c r="D4" s="8" t="s">
        <v>14</v>
      </c>
      <c r="E4" s="6" t="s">
        <v>15</v>
      </c>
      <c r="F4" s="6" t="s">
        <v>9</v>
      </c>
      <c r="G4" s="6" t="s">
        <v>10</v>
      </c>
    </row>
    <row r="5">
      <c r="A5" s="4" t="s">
        <v>16</v>
      </c>
      <c r="B5" s="4" t="s">
        <v>9</v>
      </c>
      <c r="C5" s="4" t="s">
        <v>10</v>
      </c>
      <c r="D5" s="5">
        <v>1099.0</v>
      </c>
      <c r="E5" s="6" t="s">
        <v>17</v>
      </c>
      <c r="F5" s="6" t="s">
        <v>9</v>
      </c>
      <c r="G5" s="6" t="s">
        <v>10</v>
      </c>
    </row>
    <row r="6">
      <c r="A6" s="4" t="s">
        <v>18</v>
      </c>
      <c r="B6" s="4" t="s">
        <v>9</v>
      </c>
      <c r="C6" s="4" t="s">
        <v>10</v>
      </c>
      <c r="D6" s="5">
        <v>1099.0</v>
      </c>
      <c r="E6" s="6" t="s">
        <v>19</v>
      </c>
      <c r="F6" s="6" t="s">
        <v>9</v>
      </c>
      <c r="G6" s="6" t="s">
        <v>10</v>
      </c>
    </row>
    <row r="7">
      <c r="A7" s="3" t="s">
        <v>20</v>
      </c>
      <c r="B7" s="4" t="s">
        <v>9</v>
      </c>
      <c r="C7" s="4" t="s">
        <v>9</v>
      </c>
      <c r="D7" s="3" t="s">
        <v>21</v>
      </c>
      <c r="E7" s="6" t="s">
        <v>22</v>
      </c>
      <c r="F7" s="6" t="s">
        <v>10</v>
      </c>
      <c r="G7" s="6" t="s">
        <v>9</v>
      </c>
    </row>
    <row r="8">
      <c r="A8" s="3" t="s">
        <v>23</v>
      </c>
      <c r="B8" s="4" t="s">
        <v>9</v>
      </c>
      <c r="C8" s="4" t="s">
        <v>10</v>
      </c>
      <c r="D8" s="4" t="s">
        <v>24</v>
      </c>
      <c r="E8" s="6" t="s">
        <v>25</v>
      </c>
      <c r="F8" s="6" t="s">
        <v>9</v>
      </c>
      <c r="G8" s="6" t="s">
        <v>10</v>
      </c>
    </row>
    <row r="9">
      <c r="A9" s="3" t="s">
        <v>26</v>
      </c>
      <c r="B9" s="4" t="s">
        <v>9</v>
      </c>
      <c r="C9" s="4" t="s">
        <v>10</v>
      </c>
      <c r="D9" s="3" t="s">
        <v>27</v>
      </c>
      <c r="E9" s="6" t="s">
        <v>28</v>
      </c>
      <c r="F9" s="6" t="s">
        <v>9</v>
      </c>
      <c r="G9" s="6" t="s">
        <v>10</v>
      </c>
      <c r="H9" s="9">
        <v>11311.01</v>
      </c>
    </row>
    <row r="10">
      <c r="A10" s="3" t="s">
        <v>29</v>
      </c>
      <c r="B10" s="4" t="s">
        <v>9</v>
      </c>
      <c r="C10" s="4" t="s">
        <v>10</v>
      </c>
      <c r="D10" s="3" t="s">
        <v>30</v>
      </c>
      <c r="E10" s="6" t="s">
        <v>31</v>
      </c>
      <c r="F10" s="6" t="s">
        <v>9</v>
      </c>
      <c r="G10" s="6" t="s">
        <v>10</v>
      </c>
      <c r="H10" s="9">
        <v>9482.0</v>
      </c>
    </row>
    <row r="11">
      <c r="A11" s="4" t="s">
        <v>32</v>
      </c>
      <c r="B11" s="3" t="s">
        <v>9</v>
      </c>
      <c r="C11" s="3" t="s">
        <v>9</v>
      </c>
      <c r="D11" s="3" t="s">
        <v>30</v>
      </c>
      <c r="E11" s="4" t="s">
        <v>33</v>
      </c>
      <c r="F11" s="3" t="s">
        <v>10</v>
      </c>
      <c r="G11" s="3" t="s">
        <v>9</v>
      </c>
    </row>
    <row r="12">
      <c r="A12" s="3" t="s">
        <v>34</v>
      </c>
      <c r="B12" s="4" t="s">
        <v>9</v>
      </c>
      <c r="C12" s="4" t="s">
        <v>10</v>
      </c>
      <c r="D12" s="4" t="s">
        <v>35</v>
      </c>
      <c r="E12" s="6" t="s">
        <v>36</v>
      </c>
      <c r="F12" s="6" t="s">
        <v>9</v>
      </c>
      <c r="G12" s="6" t="s">
        <v>10</v>
      </c>
      <c r="H12" s="9">
        <v>3075.3</v>
      </c>
    </row>
    <row r="13">
      <c r="A13" s="4" t="s">
        <v>37</v>
      </c>
      <c r="B13" s="4" t="s">
        <v>9</v>
      </c>
      <c r="C13" s="4" t="s">
        <v>9</v>
      </c>
      <c r="D13" s="3" t="s">
        <v>38</v>
      </c>
      <c r="E13" s="3" t="s">
        <v>39</v>
      </c>
      <c r="F13" s="3" t="s">
        <v>10</v>
      </c>
      <c r="G13" s="3" t="s">
        <v>9</v>
      </c>
    </row>
    <row r="14">
      <c r="A14" s="3" t="s">
        <v>40</v>
      </c>
      <c r="B14" s="4" t="s">
        <v>9</v>
      </c>
      <c r="C14" s="4" t="s">
        <v>9</v>
      </c>
      <c r="D14" s="3" t="s">
        <v>41</v>
      </c>
      <c r="E14" s="6" t="s">
        <v>42</v>
      </c>
      <c r="F14" s="3" t="s">
        <v>10</v>
      </c>
      <c r="G14" s="3" t="s">
        <v>9</v>
      </c>
    </row>
    <row r="15">
      <c r="A15" s="4" t="s">
        <v>43</v>
      </c>
      <c r="B15" s="4" t="s">
        <v>9</v>
      </c>
      <c r="C15" s="4" t="s">
        <v>9</v>
      </c>
      <c r="D15" s="5">
        <v>3922.0</v>
      </c>
      <c r="E15" s="6" t="s">
        <v>44</v>
      </c>
      <c r="F15" s="3" t="s">
        <v>10</v>
      </c>
      <c r="G15" s="3" t="s">
        <v>9</v>
      </c>
    </row>
    <row r="16">
      <c r="A16" s="3" t="s">
        <v>45</v>
      </c>
      <c r="B16" s="3"/>
      <c r="C16" s="3"/>
      <c r="D16" s="3"/>
    </row>
    <row r="17">
      <c r="A17" s="3" t="s">
        <v>46</v>
      </c>
      <c r="B17" s="4" t="s">
        <v>9</v>
      </c>
      <c r="C17" s="4" t="s">
        <v>9</v>
      </c>
      <c r="D17" s="3" t="s">
        <v>41</v>
      </c>
      <c r="F17" s="3" t="s">
        <v>10</v>
      </c>
      <c r="G17" s="3" t="s">
        <v>9</v>
      </c>
    </row>
    <row r="18">
      <c r="A18" s="4" t="s">
        <v>47</v>
      </c>
      <c r="B18" s="4" t="s">
        <v>9</v>
      </c>
      <c r="C18" s="4" t="s">
        <v>9</v>
      </c>
      <c r="D18" s="3" t="s">
        <v>38</v>
      </c>
      <c r="E18" s="3" t="s">
        <v>39</v>
      </c>
      <c r="F18" s="3" t="s">
        <v>10</v>
      </c>
      <c r="G18" s="3" t="s">
        <v>9</v>
      </c>
    </row>
    <row r="19">
      <c r="A19" s="4" t="s">
        <v>48</v>
      </c>
      <c r="B19" s="4" t="s">
        <v>9</v>
      </c>
      <c r="C19" s="4" t="s">
        <v>9</v>
      </c>
      <c r="D19" s="3" t="s">
        <v>49</v>
      </c>
      <c r="E19" s="6" t="s">
        <v>50</v>
      </c>
      <c r="F19" s="3" t="s">
        <v>10</v>
      </c>
      <c r="G19" s="3" t="s">
        <v>9</v>
      </c>
    </row>
    <row r="20">
      <c r="A20" s="4" t="s">
        <v>51</v>
      </c>
      <c r="B20" s="4" t="s">
        <v>9</v>
      </c>
      <c r="C20" s="4" t="s">
        <v>9</v>
      </c>
      <c r="D20" s="4" t="s">
        <v>52</v>
      </c>
      <c r="E20" s="6" t="s">
        <v>53</v>
      </c>
      <c r="F20" s="3" t="s">
        <v>10</v>
      </c>
      <c r="G20" s="3" t="s">
        <v>9</v>
      </c>
    </row>
    <row r="21">
      <c r="A21" s="4" t="s">
        <v>54</v>
      </c>
      <c r="B21" s="4" t="s">
        <v>9</v>
      </c>
      <c r="C21" s="4" t="s">
        <v>10</v>
      </c>
      <c r="D21" s="4" t="s">
        <v>55</v>
      </c>
      <c r="E21" s="6" t="s">
        <v>56</v>
      </c>
      <c r="F21" s="6" t="s">
        <v>9</v>
      </c>
      <c r="G21" s="6" t="s">
        <v>10</v>
      </c>
    </row>
    <row r="22">
      <c r="A22" s="4" t="s">
        <v>57</v>
      </c>
      <c r="B22" s="4" t="s">
        <v>9</v>
      </c>
      <c r="C22" s="4" t="s">
        <v>10</v>
      </c>
      <c r="D22" s="4" t="s">
        <v>58</v>
      </c>
      <c r="E22" s="6" t="s">
        <v>59</v>
      </c>
      <c r="F22" s="6" t="s">
        <v>9</v>
      </c>
      <c r="G22" s="6" t="s">
        <v>10</v>
      </c>
    </row>
    <row r="23">
      <c r="A23" s="4" t="s">
        <v>60</v>
      </c>
      <c r="B23" s="4" t="s">
        <v>61</v>
      </c>
      <c r="C23" s="4" t="s">
        <v>9</v>
      </c>
      <c r="D23" s="3" t="s">
        <v>62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0"/>
    <col customWidth="1" min="2" max="2" width="38.0"/>
    <col customWidth="1" min="3" max="3" width="17.38"/>
    <col customWidth="1" min="4" max="4" width="18.38"/>
    <col customWidth="1" min="5" max="5" width="46.13"/>
    <col customWidth="1" min="6" max="6" width="24.88"/>
    <col customWidth="1" min="7" max="7" width="9.63"/>
    <col customWidth="1" min="8" max="8" width="4.0"/>
  </cols>
  <sheetData>
    <row r="1">
      <c r="A1" s="10" t="s">
        <v>63</v>
      </c>
      <c r="B1" s="10" t="s">
        <v>64</v>
      </c>
      <c r="C1" s="10" t="s">
        <v>65</v>
      </c>
      <c r="D1" s="10" t="s">
        <v>66</v>
      </c>
      <c r="E1" s="10" t="s">
        <v>67</v>
      </c>
      <c r="F1" s="10" t="s">
        <v>68</v>
      </c>
      <c r="G1" s="10" t="s">
        <v>69</v>
      </c>
      <c r="H1" s="10" t="s">
        <v>70</v>
      </c>
    </row>
    <row r="2">
      <c r="A2" s="11">
        <v>45657.0</v>
      </c>
      <c r="B2" s="12" t="s">
        <v>71</v>
      </c>
      <c r="C2" s="12" t="s">
        <v>72</v>
      </c>
      <c r="D2" s="12" t="s">
        <v>73</v>
      </c>
      <c r="E2" s="12" t="s">
        <v>71</v>
      </c>
      <c r="F2" s="13"/>
      <c r="G2" s="12">
        <v>-15.0</v>
      </c>
      <c r="H2" s="13"/>
    </row>
    <row r="3">
      <c r="A3" s="11">
        <v>45649.0</v>
      </c>
      <c r="B3" s="12" t="s">
        <v>74</v>
      </c>
      <c r="C3" s="12" t="s">
        <v>75</v>
      </c>
      <c r="D3" s="12" t="s">
        <v>73</v>
      </c>
      <c r="E3" s="12" t="s">
        <v>76</v>
      </c>
      <c r="F3" s="13"/>
      <c r="G3" s="12">
        <v>-1.29</v>
      </c>
      <c r="H3" s="13"/>
    </row>
    <row r="4">
      <c r="A4" s="11">
        <v>45642.0</v>
      </c>
      <c r="B4" s="12" t="s">
        <v>77</v>
      </c>
      <c r="C4" s="12" t="s">
        <v>78</v>
      </c>
      <c r="D4" s="12" t="s">
        <v>73</v>
      </c>
      <c r="E4" s="12" t="s">
        <v>79</v>
      </c>
      <c r="F4" s="13"/>
      <c r="G4" s="12">
        <v>-21.28</v>
      </c>
      <c r="H4" s="13"/>
    </row>
    <row r="5">
      <c r="A5" s="11">
        <v>45635.0</v>
      </c>
      <c r="B5" s="12" t="s">
        <v>77</v>
      </c>
      <c r="C5" s="12" t="s">
        <v>78</v>
      </c>
      <c r="D5" s="12" t="s">
        <v>73</v>
      </c>
      <c r="E5" s="12" t="s">
        <v>80</v>
      </c>
      <c r="F5" s="13"/>
      <c r="G5" s="12">
        <v>-21.28</v>
      </c>
      <c r="H5" s="13"/>
    </row>
    <row r="6">
      <c r="A6" s="11">
        <v>45630.0</v>
      </c>
      <c r="B6" s="14" t="s">
        <v>81</v>
      </c>
      <c r="C6" s="12" t="s">
        <v>82</v>
      </c>
      <c r="D6" s="12" t="s">
        <v>73</v>
      </c>
      <c r="E6" s="14" t="s">
        <v>83</v>
      </c>
      <c r="F6" s="13"/>
      <c r="G6" s="12">
        <v>-853.2</v>
      </c>
      <c r="H6" s="13"/>
    </row>
    <row r="7">
      <c r="A7" s="11">
        <v>45628.0</v>
      </c>
      <c r="B7" s="12" t="s">
        <v>84</v>
      </c>
      <c r="C7" s="12" t="s">
        <v>85</v>
      </c>
      <c r="D7" s="12" t="s">
        <v>73</v>
      </c>
      <c r="E7" s="14" t="s">
        <v>86</v>
      </c>
      <c r="F7" s="13"/>
      <c r="G7" s="12">
        <v>-92.1</v>
      </c>
      <c r="H7" s="13"/>
    </row>
    <row r="8">
      <c r="A8" s="11">
        <v>45625.0</v>
      </c>
      <c r="B8" s="12" t="s">
        <v>82</v>
      </c>
      <c r="C8" s="12" t="s">
        <v>82</v>
      </c>
      <c r="D8" s="12" t="s">
        <v>73</v>
      </c>
      <c r="E8" s="12" t="s">
        <v>87</v>
      </c>
      <c r="F8" s="13"/>
      <c r="G8" s="12">
        <v>-273.12</v>
      </c>
      <c r="H8" s="13"/>
    </row>
    <row r="9">
      <c r="A9" s="11">
        <v>45621.0</v>
      </c>
      <c r="B9" s="12" t="s">
        <v>88</v>
      </c>
      <c r="C9" s="12" t="s">
        <v>89</v>
      </c>
      <c r="D9" s="12" t="s">
        <v>73</v>
      </c>
      <c r="E9" s="12" t="s">
        <v>90</v>
      </c>
      <c r="F9" s="13"/>
      <c r="G9" s="12">
        <v>-105.0</v>
      </c>
      <c r="H9" s="13"/>
    </row>
    <row r="10">
      <c r="A10" s="11">
        <v>45618.0</v>
      </c>
      <c r="B10" s="12" t="s">
        <v>74</v>
      </c>
      <c r="C10" s="12" t="s">
        <v>75</v>
      </c>
      <c r="D10" s="12" t="s">
        <v>73</v>
      </c>
      <c r="E10" s="12" t="s">
        <v>91</v>
      </c>
      <c r="F10" s="13"/>
      <c r="G10" s="12">
        <v>-1.29</v>
      </c>
      <c r="H10" s="13"/>
    </row>
    <row r="11">
      <c r="A11" s="11">
        <v>45615.0</v>
      </c>
      <c r="B11" s="12" t="s">
        <v>82</v>
      </c>
      <c r="C11" s="12" t="s">
        <v>82</v>
      </c>
      <c r="D11" s="12" t="s">
        <v>73</v>
      </c>
      <c r="E11" s="12" t="s">
        <v>92</v>
      </c>
      <c r="F11" s="13"/>
      <c r="G11" s="12">
        <v>-122.79</v>
      </c>
      <c r="H11" s="13"/>
    </row>
    <row r="12">
      <c r="A12" s="11">
        <v>45614.0</v>
      </c>
      <c r="B12" s="12" t="s">
        <v>77</v>
      </c>
      <c r="C12" s="12" t="s">
        <v>78</v>
      </c>
      <c r="D12" s="12" t="s">
        <v>73</v>
      </c>
      <c r="E12" s="12" t="s">
        <v>93</v>
      </c>
      <c r="F12" s="13"/>
      <c r="G12" s="12">
        <v>-21.28</v>
      </c>
      <c r="H12" s="13"/>
    </row>
    <row r="13">
      <c r="A13" s="11">
        <v>45608.0</v>
      </c>
      <c r="B13" s="12" t="s">
        <v>94</v>
      </c>
      <c r="C13" s="12" t="s">
        <v>89</v>
      </c>
      <c r="D13" s="12" t="s">
        <v>73</v>
      </c>
      <c r="E13" s="14" t="s">
        <v>95</v>
      </c>
      <c r="F13" s="13"/>
      <c r="G13" s="12">
        <v>-23.17</v>
      </c>
      <c r="H13" s="13"/>
    </row>
    <row r="14">
      <c r="A14" s="11">
        <v>45608.0</v>
      </c>
      <c r="B14" s="12" t="s">
        <v>94</v>
      </c>
      <c r="C14" s="12" t="s">
        <v>89</v>
      </c>
      <c r="D14" s="12" t="s">
        <v>73</v>
      </c>
      <c r="E14" s="14" t="s">
        <v>96</v>
      </c>
      <c r="F14" s="13"/>
      <c r="G14" s="12">
        <v>-8.74</v>
      </c>
      <c r="H14" s="13"/>
    </row>
    <row r="15">
      <c r="A15" s="11">
        <v>45604.0</v>
      </c>
      <c r="B15" s="12" t="s">
        <v>77</v>
      </c>
      <c r="C15" s="12" t="s">
        <v>78</v>
      </c>
      <c r="D15" s="12" t="s">
        <v>73</v>
      </c>
      <c r="E15" s="12" t="s">
        <v>97</v>
      </c>
      <c r="F15" s="13"/>
      <c r="G15" s="12">
        <v>-21.28</v>
      </c>
      <c r="H15" s="13"/>
    </row>
    <row r="16">
      <c r="A16" s="11">
        <v>45601.0</v>
      </c>
      <c r="B16" s="12" t="s">
        <v>82</v>
      </c>
      <c r="C16" s="12" t="s">
        <v>82</v>
      </c>
      <c r="D16" s="12" t="s">
        <v>73</v>
      </c>
      <c r="E16" s="12" t="s">
        <v>98</v>
      </c>
      <c r="F16" s="13"/>
      <c r="G16" s="12">
        <v>-98.23</v>
      </c>
      <c r="H16" s="13"/>
    </row>
    <row r="17">
      <c r="A17" s="11">
        <v>45597.0</v>
      </c>
      <c r="B17" s="12" t="s">
        <v>84</v>
      </c>
      <c r="C17" s="12" t="s">
        <v>85</v>
      </c>
      <c r="D17" s="12" t="s">
        <v>73</v>
      </c>
      <c r="E17" s="14" t="s">
        <v>99</v>
      </c>
      <c r="F17" s="13"/>
      <c r="G17" s="12">
        <v>-85.9</v>
      </c>
      <c r="H17" s="13"/>
    </row>
    <row r="18">
      <c r="A18" s="11">
        <v>45595.0</v>
      </c>
      <c r="B18" s="12" t="s">
        <v>82</v>
      </c>
      <c r="C18" s="12" t="s">
        <v>82</v>
      </c>
      <c r="D18" s="12" t="s">
        <v>73</v>
      </c>
      <c r="E18" s="12" t="s">
        <v>100</v>
      </c>
      <c r="F18" s="13"/>
      <c r="G18" s="12">
        <v>-210.5</v>
      </c>
      <c r="H18" s="13"/>
    </row>
    <row r="19">
      <c r="A19" s="11">
        <v>45594.0</v>
      </c>
      <c r="B19" s="12" t="s">
        <v>82</v>
      </c>
      <c r="C19" s="12" t="s">
        <v>82</v>
      </c>
      <c r="D19" s="12" t="s">
        <v>73</v>
      </c>
      <c r="E19" s="12" t="s">
        <v>101</v>
      </c>
      <c r="F19" s="13"/>
      <c r="G19" s="12">
        <v>-36.84</v>
      </c>
      <c r="H19" s="13"/>
    </row>
    <row r="20">
      <c r="A20" s="11">
        <v>45587.0</v>
      </c>
      <c r="B20" s="12" t="s">
        <v>102</v>
      </c>
      <c r="C20" s="12" t="s">
        <v>103</v>
      </c>
      <c r="D20" s="12" t="s">
        <v>73</v>
      </c>
      <c r="E20" s="12" t="s">
        <v>104</v>
      </c>
      <c r="F20" s="13"/>
      <c r="G20" s="12">
        <v>-1.29</v>
      </c>
      <c r="H20" s="13"/>
    </row>
    <row r="21">
      <c r="A21" s="11">
        <v>45581.0</v>
      </c>
      <c r="B21" s="12" t="s">
        <v>77</v>
      </c>
      <c r="C21" s="12" t="s">
        <v>78</v>
      </c>
      <c r="D21" s="12" t="s">
        <v>73</v>
      </c>
      <c r="E21" s="12" t="s">
        <v>105</v>
      </c>
      <c r="F21" s="13"/>
      <c r="G21" s="12">
        <v>-21.28</v>
      </c>
      <c r="H21" s="13"/>
    </row>
    <row r="22">
      <c r="A22" s="11">
        <v>45580.0</v>
      </c>
      <c r="B22" s="12" t="s">
        <v>82</v>
      </c>
      <c r="C22" s="12" t="s">
        <v>82</v>
      </c>
      <c r="D22" s="12" t="s">
        <v>73</v>
      </c>
      <c r="E22" s="12" t="s">
        <v>106</v>
      </c>
      <c r="F22" s="13"/>
      <c r="G22" s="12">
        <v>-122.79</v>
      </c>
      <c r="H22" s="13"/>
    </row>
    <row r="23">
      <c r="A23" s="11">
        <v>45573.0</v>
      </c>
      <c r="B23" s="12" t="s">
        <v>82</v>
      </c>
      <c r="C23" s="12" t="s">
        <v>82</v>
      </c>
      <c r="D23" s="12" t="s">
        <v>73</v>
      </c>
      <c r="E23" s="12" t="s">
        <v>107</v>
      </c>
      <c r="F23" s="13"/>
      <c r="G23" s="12">
        <v>-282.42</v>
      </c>
      <c r="H23" s="13"/>
    </row>
    <row r="24">
      <c r="A24" s="11">
        <v>45573.0</v>
      </c>
      <c r="B24" s="12" t="s">
        <v>77</v>
      </c>
      <c r="C24" s="12" t="s">
        <v>78</v>
      </c>
      <c r="D24" s="12" t="s">
        <v>73</v>
      </c>
      <c r="E24" s="12" t="s">
        <v>108</v>
      </c>
      <c r="F24" s="13"/>
      <c r="G24" s="12">
        <v>-21.28</v>
      </c>
      <c r="H24" s="13"/>
    </row>
    <row r="25">
      <c r="A25" s="11">
        <v>45566.0</v>
      </c>
      <c r="B25" s="12" t="s">
        <v>84</v>
      </c>
      <c r="C25" s="12" t="s">
        <v>85</v>
      </c>
      <c r="D25" s="12" t="s">
        <v>73</v>
      </c>
      <c r="E25" s="14" t="s">
        <v>109</v>
      </c>
      <c r="F25" s="13"/>
      <c r="G25" s="12">
        <v>-54.33</v>
      </c>
      <c r="H25" s="13"/>
    </row>
    <row r="26">
      <c r="A26" s="11">
        <v>45559.0</v>
      </c>
      <c r="B26" s="12" t="s">
        <v>82</v>
      </c>
      <c r="C26" s="12" t="s">
        <v>82</v>
      </c>
      <c r="D26" s="12" t="s">
        <v>73</v>
      </c>
      <c r="E26" s="12" t="s">
        <v>110</v>
      </c>
      <c r="F26" s="13"/>
      <c r="G26" s="12">
        <v>-61.4</v>
      </c>
      <c r="H26" s="13"/>
    </row>
    <row r="27">
      <c r="A27" s="11">
        <v>45558.0</v>
      </c>
      <c r="B27" s="12" t="s">
        <v>111</v>
      </c>
      <c r="C27" s="12" t="s">
        <v>103</v>
      </c>
      <c r="D27" s="12" t="s">
        <v>73</v>
      </c>
      <c r="E27" s="12" t="s">
        <v>112</v>
      </c>
      <c r="F27" s="13"/>
      <c r="G27" s="12">
        <v>-1.29</v>
      </c>
      <c r="H27" s="13"/>
    </row>
    <row r="28">
      <c r="A28" s="11">
        <v>45552.0</v>
      </c>
      <c r="B28" s="12" t="s">
        <v>82</v>
      </c>
      <c r="C28" s="12" t="s">
        <v>82</v>
      </c>
      <c r="D28" s="12" t="s">
        <v>73</v>
      </c>
      <c r="E28" s="12" t="s">
        <v>113</v>
      </c>
      <c r="F28" s="13"/>
      <c r="G28" s="12">
        <v>-61.4</v>
      </c>
      <c r="H28" s="13"/>
    </row>
    <row r="29">
      <c r="A29" s="11">
        <v>45551.0</v>
      </c>
      <c r="B29" s="12" t="s">
        <v>77</v>
      </c>
      <c r="C29" s="12" t="s">
        <v>78</v>
      </c>
      <c r="D29" s="12" t="s">
        <v>73</v>
      </c>
      <c r="E29" s="12" t="s">
        <v>114</v>
      </c>
      <c r="F29" s="13"/>
      <c r="G29" s="12">
        <v>-21.28</v>
      </c>
      <c r="H29" s="13"/>
    </row>
    <row r="30">
      <c r="A30" s="11">
        <v>45551.0</v>
      </c>
      <c r="B30" s="12" t="s">
        <v>115</v>
      </c>
      <c r="C30" s="12" t="s">
        <v>89</v>
      </c>
      <c r="D30" s="12" t="s">
        <v>73</v>
      </c>
      <c r="E30" s="12" t="s">
        <v>116</v>
      </c>
      <c r="F30" s="13"/>
      <c r="G30" s="12">
        <v>-12.6</v>
      </c>
      <c r="H30" s="13"/>
    </row>
    <row r="31">
      <c r="A31" s="11">
        <v>45545.0</v>
      </c>
      <c r="B31" s="12" t="s">
        <v>82</v>
      </c>
      <c r="C31" s="12" t="s">
        <v>82</v>
      </c>
      <c r="D31" s="12" t="s">
        <v>73</v>
      </c>
      <c r="E31" s="12" t="s">
        <v>117</v>
      </c>
      <c r="F31" s="13"/>
      <c r="G31" s="12">
        <v>-442.05</v>
      </c>
      <c r="H31" s="13"/>
    </row>
    <row r="32">
      <c r="A32" s="11">
        <v>45544.0</v>
      </c>
      <c r="B32" s="12" t="s">
        <v>77</v>
      </c>
      <c r="C32" s="12" t="s">
        <v>78</v>
      </c>
      <c r="D32" s="12" t="s">
        <v>73</v>
      </c>
      <c r="E32" s="12" t="s">
        <v>118</v>
      </c>
      <c r="F32" s="13"/>
      <c r="G32" s="12">
        <v>-21.28</v>
      </c>
      <c r="H32" s="13"/>
    </row>
    <row r="33">
      <c r="A33" s="11">
        <v>45538.0</v>
      </c>
      <c r="B33" s="12" t="s">
        <v>84</v>
      </c>
      <c r="C33" s="12" t="s">
        <v>85</v>
      </c>
      <c r="D33" s="12" t="s">
        <v>73</v>
      </c>
      <c r="E33" s="14" t="s">
        <v>119</v>
      </c>
      <c r="F33" s="13"/>
      <c r="G33" s="12">
        <v>-71.64</v>
      </c>
      <c r="H33" s="13"/>
    </row>
    <row r="34">
      <c r="A34" s="11">
        <v>45531.0</v>
      </c>
      <c r="B34" s="12" t="s">
        <v>82</v>
      </c>
      <c r="C34" s="12" t="s">
        <v>82</v>
      </c>
      <c r="D34" s="12" t="s">
        <v>73</v>
      </c>
      <c r="E34" s="12" t="s">
        <v>120</v>
      </c>
      <c r="F34" s="13"/>
      <c r="G34" s="12">
        <v>-98.23</v>
      </c>
      <c r="H34" s="13"/>
    </row>
    <row r="35">
      <c r="A35" s="11">
        <v>45526.0</v>
      </c>
      <c r="B35" s="12" t="s">
        <v>82</v>
      </c>
      <c r="C35" s="12" t="s">
        <v>82</v>
      </c>
      <c r="D35" s="12" t="s">
        <v>73</v>
      </c>
      <c r="E35" s="12" t="s">
        <v>121</v>
      </c>
      <c r="F35" s="13"/>
      <c r="G35" s="12">
        <v>-210.5</v>
      </c>
      <c r="H35" s="13"/>
    </row>
    <row r="36">
      <c r="A36" s="11">
        <v>45526.0</v>
      </c>
      <c r="B36" s="12" t="s">
        <v>111</v>
      </c>
      <c r="C36" s="12" t="s">
        <v>103</v>
      </c>
      <c r="D36" s="12" t="s">
        <v>73</v>
      </c>
      <c r="E36" s="12" t="s">
        <v>122</v>
      </c>
      <c r="F36" s="13"/>
      <c r="G36" s="12">
        <v>-1.29</v>
      </c>
      <c r="H36" s="13"/>
    </row>
    <row r="37">
      <c r="A37" s="11">
        <v>45526.0</v>
      </c>
      <c r="B37" s="12" t="s">
        <v>94</v>
      </c>
      <c r="C37" s="12" t="s">
        <v>89</v>
      </c>
      <c r="D37" s="12" t="s">
        <v>73</v>
      </c>
      <c r="E37" s="14" t="s">
        <v>123</v>
      </c>
      <c r="F37" s="13"/>
      <c r="G37" s="12">
        <v>-23.17</v>
      </c>
      <c r="H37" s="13"/>
    </row>
    <row r="38">
      <c r="A38" s="11">
        <v>45517.0</v>
      </c>
      <c r="B38" s="12" t="s">
        <v>82</v>
      </c>
      <c r="C38" s="12" t="s">
        <v>82</v>
      </c>
      <c r="D38" s="12" t="s">
        <v>73</v>
      </c>
      <c r="E38" s="12" t="s">
        <v>124</v>
      </c>
      <c r="F38" s="13"/>
      <c r="G38" s="12">
        <v>-49.12</v>
      </c>
      <c r="H38" s="13"/>
    </row>
    <row r="39">
      <c r="A39" s="11">
        <v>45513.0</v>
      </c>
      <c r="B39" s="12" t="s">
        <v>77</v>
      </c>
      <c r="C39" s="12" t="s">
        <v>78</v>
      </c>
      <c r="D39" s="12" t="s">
        <v>73</v>
      </c>
      <c r="E39" s="12" t="s">
        <v>125</v>
      </c>
      <c r="F39" s="13"/>
      <c r="G39" s="12">
        <v>-21.28</v>
      </c>
      <c r="H39" s="13"/>
    </row>
    <row r="40">
      <c r="A40" s="11">
        <v>45512.0</v>
      </c>
      <c r="B40" s="12" t="s">
        <v>77</v>
      </c>
      <c r="C40" s="12" t="s">
        <v>78</v>
      </c>
      <c r="D40" s="12" t="s">
        <v>73</v>
      </c>
      <c r="E40" s="12" t="s">
        <v>126</v>
      </c>
      <c r="F40" s="13"/>
      <c r="G40" s="12">
        <v>-21.28</v>
      </c>
      <c r="H40" s="13"/>
    </row>
    <row r="41">
      <c r="A41" s="11">
        <v>45510.0</v>
      </c>
      <c r="B41" s="12" t="s">
        <v>82</v>
      </c>
      <c r="C41" s="12" t="s">
        <v>82</v>
      </c>
      <c r="D41" s="12" t="s">
        <v>73</v>
      </c>
      <c r="E41" s="12" t="s">
        <v>127</v>
      </c>
      <c r="F41" s="13"/>
      <c r="G41" s="12">
        <v>-245.58</v>
      </c>
      <c r="H41" s="13"/>
    </row>
    <row r="42">
      <c r="A42" s="11">
        <v>45510.0</v>
      </c>
      <c r="B42" s="12" t="s">
        <v>94</v>
      </c>
      <c r="C42" s="12" t="s">
        <v>89</v>
      </c>
      <c r="D42" s="12" t="s">
        <v>73</v>
      </c>
      <c r="E42" s="14" t="s">
        <v>128</v>
      </c>
      <c r="F42" s="13"/>
      <c r="G42" s="12">
        <v>-22.17</v>
      </c>
      <c r="H42" s="13"/>
    </row>
    <row r="43">
      <c r="A43" s="11">
        <v>45505.0</v>
      </c>
      <c r="B43" s="12" t="s">
        <v>84</v>
      </c>
      <c r="C43" s="12" t="s">
        <v>85</v>
      </c>
      <c r="D43" s="12" t="s">
        <v>73</v>
      </c>
      <c r="E43" s="14" t="s">
        <v>129</v>
      </c>
      <c r="F43" s="13"/>
      <c r="G43" s="12">
        <v>-56.04</v>
      </c>
      <c r="H43" s="13"/>
    </row>
    <row r="44">
      <c r="A44" s="11">
        <v>45504.0</v>
      </c>
      <c r="B44" s="12" t="s">
        <v>71</v>
      </c>
      <c r="C44" s="12" t="s">
        <v>72</v>
      </c>
      <c r="D44" s="12" t="s">
        <v>73</v>
      </c>
      <c r="E44" s="12" t="s">
        <v>71</v>
      </c>
      <c r="F44" s="13"/>
      <c r="G44" s="12">
        <v>-15.0</v>
      </c>
      <c r="H44" s="13"/>
    </row>
    <row r="45">
      <c r="A45" s="11">
        <v>45495.0</v>
      </c>
      <c r="B45" s="12" t="s">
        <v>111</v>
      </c>
      <c r="C45" s="12" t="s">
        <v>103</v>
      </c>
      <c r="D45" s="12" t="s">
        <v>73</v>
      </c>
      <c r="E45" s="12" t="s">
        <v>130</v>
      </c>
      <c r="F45" s="13"/>
      <c r="G45" s="12">
        <v>-1.29</v>
      </c>
      <c r="H45" s="13"/>
    </row>
    <row r="46">
      <c r="A46" s="11">
        <v>45489.0</v>
      </c>
      <c r="B46" s="12" t="s">
        <v>82</v>
      </c>
      <c r="C46" s="12" t="s">
        <v>82</v>
      </c>
      <c r="D46" s="12" t="s">
        <v>73</v>
      </c>
      <c r="E46" s="12" t="s">
        <v>131</v>
      </c>
      <c r="F46" s="13"/>
      <c r="G46" s="12">
        <v>-36.84</v>
      </c>
      <c r="H46" s="13"/>
    </row>
    <row r="47">
      <c r="A47" s="11">
        <v>45482.0</v>
      </c>
      <c r="B47" s="12" t="s">
        <v>77</v>
      </c>
      <c r="C47" s="12" t="s">
        <v>78</v>
      </c>
      <c r="D47" s="12" t="s">
        <v>73</v>
      </c>
      <c r="E47" s="12" t="s">
        <v>132</v>
      </c>
      <c r="F47" s="13"/>
      <c r="G47" s="12">
        <v>-21.28</v>
      </c>
      <c r="H47" s="13"/>
    </row>
    <row r="48">
      <c r="A48" s="11">
        <v>45481.0</v>
      </c>
      <c r="B48" s="12" t="s">
        <v>77</v>
      </c>
      <c r="C48" s="12" t="s">
        <v>78</v>
      </c>
      <c r="D48" s="12" t="s">
        <v>73</v>
      </c>
      <c r="E48" s="12" t="s">
        <v>133</v>
      </c>
      <c r="F48" s="13"/>
      <c r="G48" s="12">
        <v>-21.28</v>
      </c>
      <c r="H48" s="13"/>
    </row>
    <row r="49">
      <c r="A49" s="11">
        <v>45474.0</v>
      </c>
      <c r="B49" s="12" t="s">
        <v>84</v>
      </c>
      <c r="C49" s="12" t="s">
        <v>85</v>
      </c>
      <c r="D49" s="12" t="s">
        <v>73</v>
      </c>
      <c r="E49" s="14" t="s">
        <v>134</v>
      </c>
      <c r="F49" s="13"/>
      <c r="G49" s="12">
        <v>-53.73</v>
      </c>
      <c r="H49" s="13"/>
    </row>
    <row r="50">
      <c r="A50" s="11">
        <v>45471.0</v>
      </c>
      <c r="B50" s="12" t="s">
        <v>71</v>
      </c>
      <c r="C50" s="12" t="s">
        <v>72</v>
      </c>
      <c r="D50" s="12" t="s">
        <v>73</v>
      </c>
      <c r="E50" s="12" t="s">
        <v>71</v>
      </c>
      <c r="F50" s="13"/>
      <c r="G50" s="12">
        <v>-15.0</v>
      </c>
      <c r="H50" s="13"/>
    </row>
    <row r="51">
      <c r="A51" s="11">
        <v>45468.0</v>
      </c>
      <c r="B51" s="12" t="s">
        <v>82</v>
      </c>
      <c r="C51" s="12" t="s">
        <v>82</v>
      </c>
      <c r="D51" s="12" t="s">
        <v>73</v>
      </c>
      <c r="E51" s="12" t="s">
        <v>135</v>
      </c>
      <c r="F51" s="13"/>
      <c r="G51" s="12">
        <v>-210.5</v>
      </c>
      <c r="H51" s="13"/>
    </row>
    <row r="52">
      <c r="A52" s="11">
        <v>45467.0</v>
      </c>
      <c r="B52" s="12" t="s">
        <v>111</v>
      </c>
      <c r="C52" s="12" t="s">
        <v>103</v>
      </c>
      <c r="D52" s="12" t="s">
        <v>73</v>
      </c>
      <c r="E52" s="12" t="s">
        <v>136</v>
      </c>
      <c r="F52" s="13"/>
      <c r="G52" s="12">
        <v>-1.29</v>
      </c>
      <c r="H52" s="13"/>
    </row>
    <row r="53">
      <c r="A53" s="11">
        <v>45453.0</v>
      </c>
      <c r="B53" s="12" t="s">
        <v>137</v>
      </c>
      <c r="C53" s="12" t="s">
        <v>78</v>
      </c>
      <c r="D53" s="12" t="s">
        <v>73</v>
      </c>
      <c r="E53" s="12" t="s">
        <v>138</v>
      </c>
      <c r="F53" s="13"/>
      <c r="G53" s="12">
        <v>-10.64</v>
      </c>
      <c r="H53" s="13"/>
    </row>
    <row r="54">
      <c r="A54" s="11">
        <v>45453.0</v>
      </c>
      <c r="B54" s="12" t="s">
        <v>77</v>
      </c>
      <c r="C54" s="12" t="s">
        <v>78</v>
      </c>
      <c r="D54" s="12" t="s">
        <v>73</v>
      </c>
      <c r="E54" s="12" t="s">
        <v>139</v>
      </c>
      <c r="F54" s="13"/>
      <c r="G54" s="12">
        <v>-21.28</v>
      </c>
      <c r="H54" s="13"/>
    </row>
    <row r="55">
      <c r="A55" s="11">
        <v>45453.0</v>
      </c>
      <c r="B55" s="12" t="s">
        <v>77</v>
      </c>
      <c r="C55" s="12" t="s">
        <v>78</v>
      </c>
      <c r="D55" s="12" t="s">
        <v>73</v>
      </c>
      <c r="E55" s="12" t="s">
        <v>140</v>
      </c>
      <c r="F55" s="13"/>
      <c r="G55" s="12">
        <v>-21.28</v>
      </c>
      <c r="H55" s="13"/>
    </row>
    <row r="56">
      <c r="A56" s="11">
        <v>45446.0</v>
      </c>
      <c r="B56" s="12" t="s">
        <v>141</v>
      </c>
      <c r="C56" s="12" t="s">
        <v>82</v>
      </c>
      <c r="D56" s="12" t="s">
        <v>73</v>
      </c>
      <c r="E56" s="12" t="s">
        <v>142</v>
      </c>
      <c r="F56" s="13"/>
      <c r="G56" s="12">
        <v>-110.51</v>
      </c>
      <c r="H56" s="13"/>
    </row>
    <row r="57">
      <c r="A57" s="11">
        <v>45446.0</v>
      </c>
      <c r="B57" s="12" t="s">
        <v>84</v>
      </c>
      <c r="C57" s="12" t="s">
        <v>85</v>
      </c>
      <c r="D57" s="12" t="s">
        <v>73</v>
      </c>
      <c r="E57" s="14" t="s">
        <v>143</v>
      </c>
      <c r="F57" s="13"/>
      <c r="G57" s="12">
        <v>-53.73</v>
      </c>
      <c r="H57" s="13"/>
    </row>
    <row r="58">
      <c r="A58" s="11">
        <v>45443.0</v>
      </c>
      <c r="B58" s="12" t="s">
        <v>144</v>
      </c>
      <c r="C58" s="12" t="s">
        <v>72</v>
      </c>
      <c r="D58" s="12" t="s">
        <v>73</v>
      </c>
      <c r="E58" s="12" t="s">
        <v>71</v>
      </c>
      <c r="F58" s="13"/>
      <c r="G58" s="12">
        <v>-15.0</v>
      </c>
      <c r="H58" s="13"/>
    </row>
    <row r="59">
      <c r="A59" s="11">
        <v>45440.0</v>
      </c>
      <c r="B59" s="12" t="s">
        <v>141</v>
      </c>
      <c r="C59" s="12" t="s">
        <v>82</v>
      </c>
      <c r="D59" s="12" t="s">
        <v>73</v>
      </c>
      <c r="E59" s="12" t="s">
        <v>145</v>
      </c>
      <c r="F59" s="13"/>
      <c r="G59" s="12">
        <v>-505.2</v>
      </c>
      <c r="H59" s="13"/>
    </row>
    <row r="60">
      <c r="A60" s="11">
        <v>45434.0</v>
      </c>
      <c r="B60" s="12" t="s">
        <v>102</v>
      </c>
      <c r="C60" s="12" t="s">
        <v>103</v>
      </c>
      <c r="D60" s="12" t="s">
        <v>73</v>
      </c>
      <c r="E60" s="12" t="s">
        <v>146</v>
      </c>
      <c r="F60" s="13"/>
      <c r="G60" s="12">
        <v>-1.29</v>
      </c>
      <c r="H60" s="13"/>
    </row>
    <row r="61">
      <c r="A61" s="11">
        <v>45432.0</v>
      </c>
      <c r="B61" s="12" t="s">
        <v>141</v>
      </c>
      <c r="C61" s="12" t="s">
        <v>82</v>
      </c>
      <c r="D61" s="12" t="s">
        <v>73</v>
      </c>
      <c r="E61" s="12" t="s">
        <v>147</v>
      </c>
      <c r="F61" s="13"/>
      <c r="G61" s="12">
        <v>-271.58</v>
      </c>
      <c r="H61" s="13"/>
    </row>
    <row r="62">
      <c r="A62" s="11">
        <v>45425.0</v>
      </c>
      <c r="B62" s="12" t="s">
        <v>141</v>
      </c>
      <c r="C62" s="12" t="s">
        <v>82</v>
      </c>
      <c r="D62" s="12" t="s">
        <v>73</v>
      </c>
      <c r="E62" s="12" t="s">
        <v>148</v>
      </c>
      <c r="F62" s="13"/>
      <c r="G62" s="12">
        <v>-49.12</v>
      </c>
      <c r="H62" s="13"/>
    </row>
    <row r="63">
      <c r="A63" s="11">
        <v>45421.0</v>
      </c>
      <c r="B63" s="12" t="s">
        <v>94</v>
      </c>
      <c r="C63" s="12" t="s">
        <v>89</v>
      </c>
      <c r="D63" s="12" t="s">
        <v>73</v>
      </c>
      <c r="E63" s="14" t="s">
        <v>149</v>
      </c>
      <c r="F63" s="13"/>
      <c r="G63" s="12">
        <v>-12.17</v>
      </c>
      <c r="H63" s="13"/>
    </row>
    <row r="64">
      <c r="A64" s="11">
        <v>45421.0</v>
      </c>
      <c r="B64" s="12" t="s">
        <v>77</v>
      </c>
      <c r="C64" s="12" t="s">
        <v>78</v>
      </c>
      <c r="D64" s="12" t="s">
        <v>73</v>
      </c>
      <c r="E64" s="12" t="s">
        <v>150</v>
      </c>
      <c r="F64" s="13"/>
      <c r="G64" s="12">
        <v>-21.28</v>
      </c>
      <c r="H64" s="13"/>
    </row>
    <row r="65">
      <c r="A65" s="11">
        <v>45420.0</v>
      </c>
      <c r="B65" s="12" t="s">
        <v>77</v>
      </c>
      <c r="C65" s="12" t="s">
        <v>78</v>
      </c>
      <c r="D65" s="12" t="s">
        <v>73</v>
      </c>
      <c r="E65" s="12" t="s">
        <v>151</v>
      </c>
      <c r="F65" s="13"/>
      <c r="G65" s="12">
        <v>-21.28</v>
      </c>
      <c r="H65" s="13"/>
    </row>
    <row r="66">
      <c r="A66" s="11">
        <v>45419.0</v>
      </c>
      <c r="B66" s="12" t="s">
        <v>141</v>
      </c>
      <c r="C66" s="12" t="s">
        <v>82</v>
      </c>
      <c r="D66" s="12" t="s">
        <v>73</v>
      </c>
      <c r="E66" s="12" t="s">
        <v>152</v>
      </c>
      <c r="F66" s="13"/>
      <c r="G66" s="12">
        <v>-61.4</v>
      </c>
      <c r="H66" s="13"/>
    </row>
    <row r="67">
      <c r="A67" s="11">
        <v>45413.0</v>
      </c>
      <c r="B67" s="12" t="s">
        <v>84</v>
      </c>
      <c r="C67" s="12" t="s">
        <v>85</v>
      </c>
      <c r="D67" s="12" t="s">
        <v>73</v>
      </c>
      <c r="E67" s="14" t="s">
        <v>153</v>
      </c>
      <c r="F67" s="13"/>
      <c r="G67" s="12">
        <v>-53.73</v>
      </c>
      <c r="H67" s="13"/>
    </row>
    <row r="68">
      <c r="A68" s="11">
        <v>45412.0</v>
      </c>
      <c r="B68" s="12" t="s">
        <v>141</v>
      </c>
      <c r="C68" s="12" t="s">
        <v>82</v>
      </c>
      <c r="D68" s="12" t="s">
        <v>73</v>
      </c>
      <c r="E68" s="12" t="s">
        <v>154</v>
      </c>
      <c r="F68" s="13"/>
      <c r="G68" s="12">
        <v>-245.58</v>
      </c>
      <c r="H68" s="13"/>
    </row>
    <row r="69">
      <c r="A69" s="11">
        <v>45412.0</v>
      </c>
      <c r="B69" s="12" t="s">
        <v>71</v>
      </c>
      <c r="C69" s="12" t="s">
        <v>72</v>
      </c>
      <c r="D69" s="12" t="s">
        <v>73</v>
      </c>
      <c r="E69" s="12" t="s">
        <v>71</v>
      </c>
      <c r="F69" s="13"/>
      <c r="G69" s="12">
        <v>-15.0</v>
      </c>
      <c r="H69" s="13"/>
    </row>
    <row r="70">
      <c r="A70" s="11">
        <v>45408.0</v>
      </c>
      <c r="B70" s="12" t="s">
        <v>94</v>
      </c>
      <c r="C70" s="12" t="s">
        <v>89</v>
      </c>
      <c r="D70" s="12" t="s">
        <v>73</v>
      </c>
      <c r="E70" s="14" t="s">
        <v>155</v>
      </c>
      <c r="F70" s="13"/>
      <c r="G70" s="12">
        <v>-12.17</v>
      </c>
      <c r="H70" s="13"/>
    </row>
    <row r="71">
      <c r="A71" s="11">
        <v>45404.0</v>
      </c>
      <c r="B71" s="12" t="s">
        <v>141</v>
      </c>
      <c r="C71" s="12" t="s">
        <v>82</v>
      </c>
      <c r="D71" s="12" t="s">
        <v>73</v>
      </c>
      <c r="E71" s="12" t="s">
        <v>156</v>
      </c>
      <c r="F71" s="13"/>
      <c r="G71" s="12">
        <v>-61.4</v>
      </c>
      <c r="H71" s="13"/>
    </row>
    <row r="72">
      <c r="A72" s="11">
        <v>45404.0</v>
      </c>
      <c r="B72" s="12" t="s">
        <v>141</v>
      </c>
      <c r="C72" s="12" t="s">
        <v>82</v>
      </c>
      <c r="D72" s="12" t="s">
        <v>73</v>
      </c>
      <c r="E72" s="12" t="s">
        <v>157</v>
      </c>
      <c r="F72" s="13"/>
      <c r="G72" s="12">
        <v>-210.5</v>
      </c>
      <c r="H72" s="13"/>
    </row>
    <row r="73">
      <c r="A73" s="11">
        <v>45404.0</v>
      </c>
      <c r="B73" s="12" t="s">
        <v>102</v>
      </c>
      <c r="C73" s="12" t="s">
        <v>103</v>
      </c>
      <c r="D73" s="12" t="s">
        <v>73</v>
      </c>
      <c r="E73" s="12" t="s">
        <v>158</v>
      </c>
      <c r="F73" s="13"/>
      <c r="G73" s="12">
        <v>-1.29</v>
      </c>
      <c r="H73" s="13"/>
    </row>
    <row r="74">
      <c r="A74" s="11">
        <v>45397.0</v>
      </c>
      <c r="B74" s="12" t="s">
        <v>82</v>
      </c>
      <c r="C74" s="12" t="s">
        <v>82</v>
      </c>
      <c r="D74" s="12" t="s">
        <v>73</v>
      </c>
      <c r="E74" s="12" t="s">
        <v>159</v>
      </c>
      <c r="F74" s="13"/>
      <c r="G74" s="12">
        <v>-189.45</v>
      </c>
      <c r="H74" s="13"/>
    </row>
    <row r="75">
      <c r="A75" s="11">
        <v>45391.0</v>
      </c>
      <c r="B75" s="12" t="s">
        <v>77</v>
      </c>
      <c r="C75" s="12" t="s">
        <v>78</v>
      </c>
      <c r="D75" s="12" t="s">
        <v>73</v>
      </c>
      <c r="E75" s="12" t="s">
        <v>160</v>
      </c>
      <c r="F75" s="13"/>
      <c r="G75" s="12">
        <v>-21.28</v>
      </c>
      <c r="H75" s="13"/>
    </row>
    <row r="76">
      <c r="A76" s="11">
        <v>45390.0</v>
      </c>
      <c r="B76" s="12" t="s">
        <v>82</v>
      </c>
      <c r="C76" s="12" t="s">
        <v>82</v>
      </c>
      <c r="D76" s="12" t="s">
        <v>73</v>
      </c>
      <c r="E76" s="12" t="s">
        <v>161</v>
      </c>
      <c r="F76" s="13"/>
      <c r="G76" s="12">
        <v>-56.13</v>
      </c>
      <c r="H76" s="13"/>
    </row>
    <row r="77">
      <c r="A77" s="11">
        <v>45390.0</v>
      </c>
      <c r="B77" s="12" t="s">
        <v>77</v>
      </c>
      <c r="C77" s="12" t="s">
        <v>78</v>
      </c>
      <c r="D77" s="12" t="s">
        <v>73</v>
      </c>
      <c r="E77" s="12" t="s">
        <v>162</v>
      </c>
      <c r="F77" s="13"/>
      <c r="G77" s="12">
        <v>-21.28</v>
      </c>
      <c r="H77" s="13"/>
    </row>
    <row r="78">
      <c r="A78" s="11">
        <v>45383.0</v>
      </c>
      <c r="B78" s="12" t="s">
        <v>82</v>
      </c>
      <c r="C78" s="12" t="s">
        <v>82</v>
      </c>
      <c r="D78" s="12" t="s">
        <v>73</v>
      </c>
      <c r="E78" s="12" t="s">
        <v>163</v>
      </c>
      <c r="F78" s="13"/>
      <c r="G78" s="12">
        <v>-212.25</v>
      </c>
      <c r="H78" s="13"/>
    </row>
    <row r="79">
      <c r="A79" s="11">
        <v>45383.0</v>
      </c>
      <c r="B79" s="12" t="s">
        <v>84</v>
      </c>
      <c r="C79" s="12" t="s">
        <v>85</v>
      </c>
      <c r="D79" s="12" t="s">
        <v>73</v>
      </c>
      <c r="E79" s="12" t="s">
        <v>164</v>
      </c>
      <c r="F79" s="13"/>
      <c r="G79" s="12">
        <v>-47.36</v>
      </c>
      <c r="H79" s="13"/>
    </row>
    <row r="80">
      <c r="A80" s="11">
        <v>45380.0</v>
      </c>
      <c r="B80" s="12" t="s">
        <v>71</v>
      </c>
      <c r="C80" s="12" t="s">
        <v>72</v>
      </c>
      <c r="D80" s="12" t="s">
        <v>73</v>
      </c>
      <c r="E80" s="12" t="s">
        <v>71</v>
      </c>
      <c r="F80" s="13"/>
      <c r="G80" s="12">
        <v>-15.0</v>
      </c>
      <c r="H80" s="13"/>
    </row>
    <row r="81">
      <c r="A81" s="11">
        <v>45377.0</v>
      </c>
      <c r="B81" s="12" t="s">
        <v>82</v>
      </c>
      <c r="C81" s="12" t="s">
        <v>82</v>
      </c>
      <c r="D81" s="12" t="s">
        <v>73</v>
      </c>
      <c r="E81" s="12" t="s">
        <v>165</v>
      </c>
      <c r="F81" s="13"/>
      <c r="G81" s="12">
        <v>-189.45</v>
      </c>
      <c r="H81" s="13"/>
    </row>
    <row r="82">
      <c r="A82" s="11">
        <v>45373.0</v>
      </c>
      <c r="B82" s="12" t="s">
        <v>166</v>
      </c>
      <c r="C82" s="12" t="s">
        <v>89</v>
      </c>
      <c r="D82" s="12" t="s">
        <v>73</v>
      </c>
      <c r="E82" s="12" t="s">
        <v>166</v>
      </c>
      <c r="F82" s="13"/>
      <c r="G82" s="12">
        <v>-1.29</v>
      </c>
      <c r="H82" s="13"/>
    </row>
    <row r="83">
      <c r="A83" s="11">
        <v>45372.0</v>
      </c>
      <c r="B83" s="12" t="s">
        <v>167</v>
      </c>
      <c r="C83" s="12" t="s">
        <v>89</v>
      </c>
      <c r="D83" s="12" t="s">
        <v>73</v>
      </c>
      <c r="E83" s="12" t="s">
        <v>167</v>
      </c>
      <c r="F83" s="13"/>
      <c r="G83" s="12">
        <v>-1.29</v>
      </c>
      <c r="H83" s="13"/>
    </row>
    <row r="84">
      <c r="A84" s="11">
        <v>45369.0</v>
      </c>
      <c r="B84" s="12" t="s">
        <v>82</v>
      </c>
      <c r="C84" s="12" t="s">
        <v>82</v>
      </c>
      <c r="D84" s="12" t="s">
        <v>73</v>
      </c>
      <c r="E84" s="12" t="s">
        <v>168</v>
      </c>
      <c r="F84" s="13"/>
      <c r="G84" s="12">
        <v>-412.23</v>
      </c>
      <c r="H84" s="13"/>
    </row>
    <row r="85">
      <c r="A85" s="11">
        <v>45362.0</v>
      </c>
      <c r="B85" s="12" t="s">
        <v>82</v>
      </c>
      <c r="C85" s="12" t="s">
        <v>82</v>
      </c>
      <c r="D85" s="12" t="s">
        <v>73</v>
      </c>
      <c r="E85" s="12" t="s">
        <v>169</v>
      </c>
      <c r="F85" s="13"/>
      <c r="G85" s="12">
        <v>-936.73</v>
      </c>
      <c r="H85" s="13"/>
    </row>
    <row r="86">
      <c r="A86" s="11">
        <v>45362.0</v>
      </c>
      <c r="B86" s="12" t="s">
        <v>170</v>
      </c>
      <c r="C86" s="12" t="s">
        <v>78</v>
      </c>
      <c r="D86" s="12" t="s">
        <v>73</v>
      </c>
      <c r="E86" s="12" t="s">
        <v>170</v>
      </c>
      <c r="F86" s="13"/>
      <c r="G86" s="12">
        <v>-21.28</v>
      </c>
      <c r="H86" s="13"/>
    </row>
    <row r="87">
      <c r="A87" s="11">
        <v>45359.0</v>
      </c>
      <c r="B87" s="12" t="s">
        <v>171</v>
      </c>
      <c r="C87" s="12" t="s">
        <v>78</v>
      </c>
      <c r="D87" s="12" t="s">
        <v>73</v>
      </c>
      <c r="E87" s="12" t="s">
        <v>171</v>
      </c>
      <c r="F87" s="13"/>
      <c r="G87" s="12">
        <v>-21.28</v>
      </c>
      <c r="H87" s="13"/>
    </row>
    <row r="88">
      <c r="A88" s="11">
        <v>45355.0</v>
      </c>
      <c r="B88" s="12" t="s">
        <v>82</v>
      </c>
      <c r="C88" s="12" t="s">
        <v>82</v>
      </c>
      <c r="D88" s="12" t="s">
        <v>73</v>
      </c>
      <c r="E88" s="12" t="s">
        <v>172</v>
      </c>
      <c r="F88" s="13"/>
      <c r="G88" s="12">
        <v>-232.75</v>
      </c>
      <c r="H88" s="13"/>
    </row>
    <row r="89">
      <c r="A89" s="11">
        <v>45355.0</v>
      </c>
      <c r="B89" s="12" t="s">
        <v>82</v>
      </c>
      <c r="C89" s="12" t="s">
        <v>82</v>
      </c>
      <c r="D89" s="12" t="s">
        <v>73</v>
      </c>
      <c r="E89" s="12" t="s">
        <v>173</v>
      </c>
      <c r="F89" s="13"/>
      <c r="G89" s="12">
        <v>-232.75</v>
      </c>
      <c r="H89" s="13"/>
    </row>
    <row r="90">
      <c r="A90" s="11">
        <v>45352.0</v>
      </c>
      <c r="B90" s="14" t="s">
        <v>174</v>
      </c>
      <c r="C90" s="12" t="s">
        <v>85</v>
      </c>
      <c r="D90" s="12" t="s">
        <v>73</v>
      </c>
      <c r="E90" s="14" t="s">
        <v>175</v>
      </c>
      <c r="F90" s="13"/>
      <c r="G90" s="12">
        <v>-44.77</v>
      </c>
      <c r="H90" s="13"/>
    </row>
    <row r="91">
      <c r="A91" s="11">
        <v>45351.0</v>
      </c>
      <c r="B91" s="12" t="s">
        <v>71</v>
      </c>
      <c r="C91" s="12" t="s">
        <v>72</v>
      </c>
      <c r="D91" s="12" t="s">
        <v>73</v>
      </c>
      <c r="E91" s="12" t="s">
        <v>71</v>
      </c>
      <c r="F91" s="13"/>
      <c r="G91" s="12">
        <v>-15.0</v>
      </c>
      <c r="H91" s="13"/>
    </row>
    <row r="92">
      <c r="A92" s="11">
        <v>45344.0</v>
      </c>
      <c r="B92" s="12" t="s">
        <v>176</v>
      </c>
      <c r="C92" s="12" t="s">
        <v>89</v>
      </c>
      <c r="D92" s="12" t="s">
        <v>73</v>
      </c>
      <c r="E92" s="12" t="s">
        <v>176</v>
      </c>
      <c r="F92" s="13"/>
      <c r="G92" s="12">
        <v>-1.29</v>
      </c>
      <c r="H92" s="13"/>
    </row>
    <row r="93">
      <c r="A93" s="11">
        <v>45344.0</v>
      </c>
      <c r="B93" s="12" t="s">
        <v>177</v>
      </c>
      <c r="C93" s="12" t="s">
        <v>89</v>
      </c>
      <c r="D93" s="12" t="s">
        <v>73</v>
      </c>
      <c r="E93" s="12" t="s">
        <v>177</v>
      </c>
      <c r="F93" s="13"/>
      <c r="G93" s="12">
        <v>-1.29</v>
      </c>
      <c r="H93" s="13"/>
    </row>
    <row r="94">
      <c r="A94" s="11">
        <v>45342.0</v>
      </c>
      <c r="B94" s="14" t="s">
        <v>178</v>
      </c>
      <c r="C94" s="12" t="s">
        <v>89</v>
      </c>
      <c r="D94" s="12" t="s">
        <v>73</v>
      </c>
      <c r="E94" s="14" t="s">
        <v>179</v>
      </c>
      <c r="F94" s="13"/>
      <c r="G94" s="12">
        <v>-23.17</v>
      </c>
      <c r="H94" s="13"/>
    </row>
    <row r="95">
      <c r="A95" s="11">
        <v>45339.0</v>
      </c>
      <c r="B95" s="14" t="s">
        <v>180</v>
      </c>
      <c r="C95" s="12" t="s">
        <v>89</v>
      </c>
      <c r="D95" s="12" t="s">
        <v>73</v>
      </c>
      <c r="E95" s="14" t="s">
        <v>181</v>
      </c>
      <c r="F95" s="13"/>
      <c r="G95" s="12">
        <v>-23.17</v>
      </c>
      <c r="H95" s="13"/>
    </row>
    <row r="96">
      <c r="A96" s="11">
        <v>45331.0</v>
      </c>
      <c r="B96" s="12" t="s">
        <v>182</v>
      </c>
      <c r="C96" s="12" t="s">
        <v>78</v>
      </c>
      <c r="D96" s="12" t="s">
        <v>73</v>
      </c>
      <c r="E96" s="12" t="s">
        <v>182</v>
      </c>
      <c r="F96" s="13"/>
      <c r="G96" s="12">
        <v>-21.28</v>
      </c>
      <c r="H96" s="13"/>
    </row>
    <row r="97">
      <c r="A97" s="11">
        <v>45330.0</v>
      </c>
      <c r="B97" s="12" t="s">
        <v>183</v>
      </c>
      <c r="C97" s="12" t="s">
        <v>78</v>
      </c>
      <c r="D97" s="12" t="s">
        <v>73</v>
      </c>
      <c r="E97" s="12" t="s">
        <v>183</v>
      </c>
      <c r="F97" s="13"/>
      <c r="G97" s="12">
        <v>-21.28</v>
      </c>
      <c r="H97" s="13"/>
    </row>
    <row r="98">
      <c r="A98" s="11">
        <v>45330.0</v>
      </c>
      <c r="B98" s="12" t="s">
        <v>184</v>
      </c>
      <c r="C98" s="12" t="s">
        <v>78</v>
      </c>
      <c r="D98" s="12" t="s">
        <v>73</v>
      </c>
      <c r="E98" s="12" t="s">
        <v>184</v>
      </c>
      <c r="F98" s="13"/>
      <c r="G98" s="12">
        <v>-22.41</v>
      </c>
      <c r="H98" s="13"/>
    </row>
    <row r="99">
      <c r="A99" s="11">
        <v>45327.0</v>
      </c>
      <c r="B99" s="12" t="s">
        <v>82</v>
      </c>
      <c r="C99" s="12" t="s">
        <v>82</v>
      </c>
      <c r="D99" s="12" t="s">
        <v>73</v>
      </c>
      <c r="E99" s="12" t="s">
        <v>185</v>
      </c>
      <c r="F99" s="13"/>
      <c r="G99" s="12">
        <v>-110.51</v>
      </c>
      <c r="H99" s="13"/>
    </row>
    <row r="100">
      <c r="A100" s="11">
        <v>45323.0</v>
      </c>
      <c r="B100" s="14" t="s">
        <v>186</v>
      </c>
      <c r="C100" s="12" t="s">
        <v>85</v>
      </c>
      <c r="D100" s="12" t="s">
        <v>73</v>
      </c>
      <c r="E100" s="14" t="s">
        <v>187</v>
      </c>
      <c r="F100" s="13"/>
      <c r="G100" s="12">
        <v>-44.77</v>
      </c>
      <c r="H100" s="13"/>
    </row>
    <row r="101">
      <c r="A101" s="11">
        <v>45322.0</v>
      </c>
      <c r="B101" s="12" t="s">
        <v>71</v>
      </c>
      <c r="C101" s="12" t="s">
        <v>72</v>
      </c>
      <c r="D101" s="12" t="s">
        <v>73</v>
      </c>
      <c r="E101" s="12" t="s">
        <v>71</v>
      </c>
      <c r="F101" s="13"/>
      <c r="G101" s="12">
        <v>-15.0</v>
      </c>
      <c r="H101" s="13"/>
    </row>
    <row r="102">
      <c r="A102" s="11">
        <v>45320.0</v>
      </c>
      <c r="B102" s="12" t="s">
        <v>82</v>
      </c>
      <c r="C102" s="12" t="s">
        <v>82</v>
      </c>
      <c r="D102" s="12" t="s">
        <v>73</v>
      </c>
      <c r="E102" s="12" t="s">
        <v>188</v>
      </c>
      <c r="F102" s="13"/>
      <c r="G102" s="12">
        <v>-306.98</v>
      </c>
      <c r="H102" s="13"/>
    </row>
    <row r="103">
      <c r="A103" s="11">
        <v>45320.0</v>
      </c>
      <c r="B103" s="12" t="s">
        <v>82</v>
      </c>
      <c r="C103" s="12" t="s">
        <v>82</v>
      </c>
      <c r="D103" s="12" t="s">
        <v>73</v>
      </c>
      <c r="E103" s="12" t="s">
        <v>189</v>
      </c>
      <c r="F103" s="13"/>
      <c r="G103" s="12">
        <v>-306.98</v>
      </c>
      <c r="H103" s="13"/>
    </row>
    <row r="104">
      <c r="A104" s="11">
        <v>45316.0</v>
      </c>
      <c r="B104" s="12" t="s">
        <v>190</v>
      </c>
      <c r="C104" s="12" t="s">
        <v>75</v>
      </c>
      <c r="D104" s="12" t="s">
        <v>73</v>
      </c>
      <c r="E104" s="12" t="s">
        <v>190</v>
      </c>
      <c r="F104" s="13"/>
      <c r="G104" s="12">
        <v>-357.99</v>
      </c>
      <c r="H104" s="13"/>
    </row>
    <row r="105">
      <c r="A105" s="11">
        <v>45316.0</v>
      </c>
      <c r="B105" s="12" t="s">
        <v>191</v>
      </c>
      <c r="C105" s="12" t="s">
        <v>192</v>
      </c>
      <c r="D105" s="12" t="s">
        <v>73</v>
      </c>
      <c r="E105" s="12" t="s">
        <v>191</v>
      </c>
      <c r="F105" s="12" t="s">
        <v>193</v>
      </c>
      <c r="G105" s="12">
        <v>-357.99</v>
      </c>
      <c r="H105" s="13"/>
    </row>
    <row r="106">
      <c r="A106" s="11">
        <v>45314.0</v>
      </c>
      <c r="B106" s="14" t="s">
        <v>194</v>
      </c>
      <c r="C106" s="12" t="s">
        <v>89</v>
      </c>
      <c r="D106" s="12" t="s">
        <v>73</v>
      </c>
      <c r="E106" s="14" t="s">
        <v>195</v>
      </c>
      <c r="F106" s="13"/>
      <c r="G106" s="12">
        <v>-22.17</v>
      </c>
      <c r="H106" s="13"/>
    </row>
    <row r="107">
      <c r="A107" s="11">
        <v>45313.0</v>
      </c>
      <c r="B107" s="12" t="s">
        <v>196</v>
      </c>
      <c r="C107" s="12" t="s">
        <v>89</v>
      </c>
      <c r="D107" s="12" t="s">
        <v>73</v>
      </c>
      <c r="E107" s="12" t="s">
        <v>196</v>
      </c>
      <c r="F107" s="13"/>
      <c r="G107" s="12">
        <v>-1.29</v>
      </c>
      <c r="H107" s="13"/>
    </row>
    <row r="108">
      <c r="A108" s="11">
        <v>45307.0</v>
      </c>
      <c r="B108" s="12" t="s">
        <v>82</v>
      </c>
      <c r="C108" s="12" t="s">
        <v>82</v>
      </c>
      <c r="D108" s="12" t="s">
        <v>73</v>
      </c>
      <c r="E108" s="12" t="s">
        <v>197</v>
      </c>
      <c r="F108" s="13"/>
      <c r="G108" s="12">
        <v>-159.63</v>
      </c>
      <c r="H108" s="13"/>
    </row>
    <row r="109">
      <c r="A109" s="11">
        <v>45300.0</v>
      </c>
      <c r="B109" s="12" t="s">
        <v>198</v>
      </c>
      <c r="C109" s="12" t="s">
        <v>78</v>
      </c>
      <c r="D109" s="12" t="s">
        <v>73</v>
      </c>
      <c r="E109" s="12" t="s">
        <v>198</v>
      </c>
      <c r="F109" s="13"/>
      <c r="G109" s="12">
        <v>-11.19</v>
      </c>
      <c r="H109" s="13"/>
    </row>
    <row r="110">
      <c r="A110" s="11">
        <v>45300.0</v>
      </c>
      <c r="B110" s="12" t="s">
        <v>199</v>
      </c>
      <c r="C110" s="12" t="s">
        <v>75</v>
      </c>
      <c r="D110" s="12" t="s">
        <v>73</v>
      </c>
      <c r="E110" s="12" t="s">
        <v>199</v>
      </c>
      <c r="F110" s="13"/>
      <c r="G110" s="12">
        <v>-21.28</v>
      </c>
      <c r="H110" s="13"/>
    </row>
    <row r="111">
      <c r="A111" s="11">
        <v>45300.0</v>
      </c>
      <c r="B111" s="12" t="s">
        <v>200</v>
      </c>
      <c r="C111" s="12" t="s">
        <v>78</v>
      </c>
      <c r="D111" s="12" t="s">
        <v>73</v>
      </c>
      <c r="E111" s="12" t="s">
        <v>200</v>
      </c>
      <c r="F111" s="13"/>
      <c r="G111" s="12">
        <v>-21.28</v>
      </c>
      <c r="H111" s="13"/>
    </row>
    <row r="112">
      <c r="A112" s="11">
        <v>45300.0</v>
      </c>
      <c r="B112" s="12" t="s">
        <v>201</v>
      </c>
      <c r="C112" s="12" t="s">
        <v>78</v>
      </c>
      <c r="D112" s="12" t="s">
        <v>73</v>
      </c>
      <c r="E112" s="12" t="s">
        <v>201</v>
      </c>
      <c r="F112" s="13"/>
      <c r="G112" s="12">
        <v>-11.19</v>
      </c>
      <c r="H112" s="13"/>
    </row>
    <row r="113">
      <c r="A113" s="11">
        <v>45299.0</v>
      </c>
      <c r="B113" s="12" t="s">
        <v>202</v>
      </c>
      <c r="C113" s="12" t="s">
        <v>78</v>
      </c>
      <c r="D113" s="12" t="s">
        <v>73</v>
      </c>
      <c r="E113" s="12" t="s">
        <v>202</v>
      </c>
      <c r="F113" s="13"/>
      <c r="G113" s="12">
        <v>-21.28</v>
      </c>
      <c r="H113" s="13"/>
    </row>
    <row r="114">
      <c r="A114" s="11">
        <v>45299.0</v>
      </c>
      <c r="B114" s="12" t="s">
        <v>82</v>
      </c>
      <c r="C114" s="12" t="s">
        <v>82</v>
      </c>
      <c r="D114" s="12" t="s">
        <v>73</v>
      </c>
      <c r="E114" s="12" t="s">
        <v>203</v>
      </c>
      <c r="F114" s="13"/>
      <c r="G114" s="12">
        <v>-294.7</v>
      </c>
      <c r="H114" s="13"/>
    </row>
    <row r="115">
      <c r="A115" s="11">
        <v>45293.0</v>
      </c>
      <c r="B115" s="12" t="s">
        <v>82</v>
      </c>
      <c r="C115" s="12" t="s">
        <v>82</v>
      </c>
      <c r="D115" s="12" t="s">
        <v>73</v>
      </c>
      <c r="E115" s="12" t="s">
        <v>204</v>
      </c>
      <c r="F115" s="13"/>
      <c r="G115" s="12">
        <v>-306.98</v>
      </c>
      <c r="H115" s="13"/>
    </row>
    <row r="116">
      <c r="A116" s="11">
        <v>45293.0</v>
      </c>
      <c r="B116" s="12" t="s">
        <v>205</v>
      </c>
      <c r="C116" s="12" t="s">
        <v>89</v>
      </c>
      <c r="D116" s="12" t="s">
        <v>73</v>
      </c>
      <c r="E116" s="12" t="s">
        <v>205</v>
      </c>
      <c r="F116" s="13"/>
      <c r="G116" s="12">
        <v>-0.65</v>
      </c>
      <c r="H116" s="13"/>
    </row>
    <row r="117">
      <c r="A117" s="11">
        <v>45293.0</v>
      </c>
      <c r="B117" s="14" t="s">
        <v>206</v>
      </c>
      <c r="C117" s="12" t="s">
        <v>85</v>
      </c>
      <c r="D117" s="12" t="s">
        <v>73</v>
      </c>
      <c r="E117" s="14" t="s">
        <v>207</v>
      </c>
      <c r="F117" s="13"/>
      <c r="G117" s="12">
        <v>-44.77</v>
      </c>
      <c r="H117" s="13"/>
    </row>
    <row r="121">
      <c r="F121" s="2" t="s">
        <v>208</v>
      </c>
      <c r="G121" s="15">
        <f>SUM(G2:G117)</f>
        <v>-11311.01</v>
      </c>
    </row>
    <row r="122">
      <c r="F122" s="16"/>
    </row>
    <row r="123">
      <c r="F123" s="2" t="s">
        <v>209</v>
      </c>
      <c r="G123" s="15">
        <f>sumif(C2:C117,"Upwork",G2:G117)</f>
        <v>-8878.32</v>
      </c>
    </row>
  </sheetData>
  <hyperlinks>
    <hyperlink r:id="rId1" ref="B6"/>
    <hyperlink r:id="rId2" ref="E6"/>
    <hyperlink r:id="rId3" ref="E7"/>
    <hyperlink r:id="rId4" ref="E13"/>
    <hyperlink r:id="rId5" ref="E14"/>
    <hyperlink r:id="rId6" ref="E17"/>
    <hyperlink r:id="rId7" ref="E25"/>
    <hyperlink r:id="rId8" ref="E33"/>
    <hyperlink r:id="rId9" ref="E37"/>
    <hyperlink r:id="rId10" ref="E42"/>
    <hyperlink r:id="rId11" ref="E43"/>
    <hyperlink r:id="rId12" ref="E49"/>
    <hyperlink r:id="rId13" ref="E57"/>
    <hyperlink r:id="rId14" ref="E63"/>
    <hyperlink r:id="rId15" ref="E67"/>
    <hyperlink r:id="rId16" ref="E70"/>
    <hyperlink r:id="rId17" ref="B90"/>
    <hyperlink r:id="rId18" ref="E90"/>
    <hyperlink r:id="rId19" ref="B94"/>
    <hyperlink r:id="rId20" ref="E94"/>
    <hyperlink r:id="rId21" ref="B95"/>
    <hyperlink r:id="rId22" ref="E95"/>
    <hyperlink r:id="rId23" ref="B100"/>
    <hyperlink r:id="rId24" ref="E100"/>
    <hyperlink r:id="rId25" ref="B106"/>
    <hyperlink r:id="rId26" ref="E106"/>
    <hyperlink r:id="rId27" ref="B117"/>
    <hyperlink r:id="rId28" ref="E117"/>
  </hyperlinks>
  <drawing r:id="rId2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8.63"/>
    <col customWidth="1" min="4" max="4" width="6.63"/>
    <col customWidth="1" min="6" max="6" width="38.88"/>
    <col customWidth="1" min="7" max="7" width="34.5"/>
  </cols>
  <sheetData>
    <row r="1">
      <c r="A1" s="17" t="s">
        <v>63</v>
      </c>
      <c r="B1" s="18" t="s">
        <v>210</v>
      </c>
      <c r="C1" s="19" t="s">
        <v>69</v>
      </c>
      <c r="D1" s="20" t="s">
        <v>211</v>
      </c>
      <c r="E1" s="18" t="s">
        <v>212</v>
      </c>
      <c r="F1" s="1" t="s">
        <v>210</v>
      </c>
      <c r="G1" s="2" t="s">
        <v>213</v>
      </c>
    </row>
    <row r="2">
      <c r="A2" s="21">
        <v>45486.0</v>
      </c>
      <c r="B2" s="6" t="s">
        <v>214</v>
      </c>
      <c r="C2" s="22">
        <v>1700.0</v>
      </c>
      <c r="D2" s="6" t="s">
        <v>9</v>
      </c>
      <c r="E2" s="6" t="s">
        <v>215</v>
      </c>
      <c r="F2" s="6" t="s">
        <v>216</v>
      </c>
      <c r="G2" s="23" t="s">
        <v>217</v>
      </c>
    </row>
    <row r="3">
      <c r="A3" s="21">
        <v>45508.0</v>
      </c>
      <c r="B3" s="6" t="s">
        <v>218</v>
      </c>
      <c r="C3" s="22">
        <v>700.0</v>
      </c>
      <c r="D3" s="6" t="s">
        <v>9</v>
      </c>
      <c r="E3" s="6" t="s">
        <v>215</v>
      </c>
      <c r="F3" s="6" t="s">
        <v>219</v>
      </c>
      <c r="G3" s="6" t="s">
        <v>220</v>
      </c>
    </row>
    <row r="4">
      <c r="A4" s="21">
        <v>45656.0</v>
      </c>
      <c r="B4" s="6" t="s">
        <v>221</v>
      </c>
      <c r="C4" s="22">
        <v>200.0</v>
      </c>
      <c r="D4" s="6" t="s">
        <v>9</v>
      </c>
      <c r="E4" s="6" t="s">
        <v>215</v>
      </c>
      <c r="F4" s="6" t="s">
        <v>222</v>
      </c>
      <c r="G4" s="6" t="s">
        <v>220</v>
      </c>
    </row>
    <row r="5">
      <c r="A5" s="21">
        <v>45332.0</v>
      </c>
      <c r="B5" s="6" t="s">
        <v>223</v>
      </c>
      <c r="C5" s="22">
        <v>210.0</v>
      </c>
      <c r="D5" s="6" t="s">
        <v>9</v>
      </c>
      <c r="E5" s="6" t="s">
        <v>215</v>
      </c>
      <c r="F5" s="6" t="s">
        <v>224</v>
      </c>
      <c r="G5" s="6" t="s">
        <v>220</v>
      </c>
    </row>
    <row r="6">
      <c r="A6" s="21">
        <v>45655.0</v>
      </c>
      <c r="B6" s="6" t="s">
        <v>225</v>
      </c>
      <c r="C6" s="22">
        <v>113.3</v>
      </c>
      <c r="D6" s="6" t="s">
        <v>226</v>
      </c>
      <c r="E6" s="6" t="s">
        <v>215</v>
      </c>
      <c r="F6" s="6" t="s">
        <v>227</v>
      </c>
      <c r="G6" s="6" t="s">
        <v>10</v>
      </c>
    </row>
    <row r="7">
      <c r="A7" s="21">
        <v>45604.0</v>
      </c>
      <c r="B7" s="6" t="s">
        <v>228</v>
      </c>
      <c r="C7" s="22">
        <v>102.0</v>
      </c>
      <c r="D7" s="6" t="s">
        <v>226</v>
      </c>
      <c r="E7" s="6" t="s">
        <v>215</v>
      </c>
      <c r="F7" s="6" t="s">
        <v>229</v>
      </c>
      <c r="G7" s="6" t="s">
        <v>10</v>
      </c>
    </row>
    <row r="8">
      <c r="A8" s="21">
        <v>45649.0</v>
      </c>
      <c r="B8" s="6" t="s">
        <v>230</v>
      </c>
      <c r="C8" s="22">
        <v>50.0</v>
      </c>
      <c r="D8" s="6" t="s">
        <v>226</v>
      </c>
      <c r="E8" s="6" t="s">
        <v>215</v>
      </c>
      <c r="F8" s="6" t="s">
        <v>231</v>
      </c>
      <c r="G8" s="6" t="s">
        <v>10</v>
      </c>
    </row>
    <row r="14">
      <c r="B14" s="2" t="s">
        <v>232</v>
      </c>
      <c r="C14" s="15">
        <f>sum(C2:C11)</f>
        <v>3075.3</v>
      </c>
      <c r="G14" s="23" t="s">
        <v>233</v>
      </c>
    </row>
  </sheetData>
  <hyperlinks>
    <hyperlink r:id="rId1" ref="G2"/>
    <hyperlink r:id="rId2" ref="G14"/>
  </hyperlinks>
  <drawing r:id="rId3"/>
</worksheet>
</file>